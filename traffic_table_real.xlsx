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8256064-A247-4E80-A6A2-028DD401C983}" xr6:coauthVersionLast="47" xr6:coauthVersionMax="47" xr10:uidLastSave="{00000000-0000-0000-0000-000000000000}"/>
  <bookViews>
    <workbookView xWindow="-108" yWindow="-108" windowWidth="23256" windowHeight="12456" xr2:uid="{610F455D-32E0-49F7-B6E4-31A9E7FC3E31}"/>
  </bookViews>
  <sheets>
    <sheet name="traffic_table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J15" i="1"/>
  <c r="J2" i="1"/>
  <c r="J3" i="1"/>
  <c r="J4" i="1"/>
  <c r="J5" i="1"/>
  <c r="J6" i="1"/>
  <c r="B7" i="1"/>
  <c r="D7" i="1"/>
  <c r="E7" i="1"/>
  <c r="F7" i="1"/>
  <c r="G7" i="1"/>
  <c r="G8" i="1" s="1"/>
  <c r="G9" i="1" s="1"/>
  <c r="G10" i="1" s="1"/>
  <c r="G11" i="1" s="1"/>
  <c r="G12" i="1" s="1"/>
  <c r="G13" i="1" s="1"/>
  <c r="H7" i="1"/>
  <c r="H8" i="1" s="1"/>
  <c r="H9" i="1" s="1"/>
  <c r="H10" i="1" s="1"/>
  <c r="H11" i="1" s="1"/>
  <c r="H12" i="1" s="1"/>
  <c r="H13" i="1" s="1"/>
  <c r="I7" i="1"/>
  <c r="J7" i="1"/>
  <c r="B8" i="1"/>
  <c r="B9" i="1" s="1"/>
  <c r="D8" i="1"/>
  <c r="D9" i="1" s="1"/>
  <c r="D10" i="1" s="1"/>
  <c r="D11" i="1" s="1"/>
  <c r="D12" i="1" s="1"/>
  <c r="D13" i="1" s="1"/>
  <c r="E8" i="1"/>
  <c r="E9" i="1" s="1"/>
  <c r="E10" i="1" s="1"/>
  <c r="E11" i="1" s="1"/>
  <c r="E12" i="1" s="1"/>
  <c r="E13" i="1" s="1"/>
  <c r="F8" i="1"/>
  <c r="K15" i="1"/>
  <c r="F9" i="1" l="1"/>
  <c r="J8" i="1"/>
  <c r="B10" i="1"/>
  <c r="B11" i="1" l="1"/>
  <c r="F10" i="1"/>
  <c r="J9" i="1"/>
  <c r="F11" i="1" l="1"/>
  <c r="F12" i="1" s="1"/>
  <c r="F13" i="1" s="1"/>
  <c r="J10" i="1"/>
  <c r="B12" i="1"/>
  <c r="J11" i="1"/>
  <c r="J12" i="1" l="1"/>
  <c r="B13" i="1"/>
  <c r="J13" i="1" s="1"/>
</calcChain>
</file>

<file path=xl/sharedStrings.xml><?xml version="1.0" encoding="utf-8"?>
<sst xmlns="http://schemas.openxmlformats.org/spreadsheetml/2006/main" count="33" uniqueCount="30">
  <si>
    <t>month</t>
  </si>
  <si>
    <t>AI</t>
  </si>
  <si>
    <t>Markets</t>
  </si>
  <si>
    <t>Crypto</t>
  </si>
  <si>
    <t>Breakthroughs</t>
  </si>
  <si>
    <t>Policy</t>
  </si>
  <si>
    <t>Guides</t>
  </si>
  <si>
    <t>newsletter_signups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</si>
  <si>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</si>
  <si>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</si>
  <si>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</si>
  <si>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</si>
  <si>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</si>
  <si>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</si>
  <si>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</si>
  <si>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</si>
  <si>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</si>
  <si>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</si>
  <si>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</si>
  <si>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</si>
  <si>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Total Sessions</t>
  </si>
  <si>
    <t>Percentage Increase</t>
  </si>
  <si>
    <t>FakeTotal Session</t>
  </si>
  <si>
    <t>Uncertainty</t>
  </si>
  <si>
    <t>I could have added 200 or 300 or 250 each</t>
  </si>
  <si>
    <t>N/A</t>
  </si>
  <si>
    <t>200-300</t>
  </si>
  <si>
    <t>Trend</t>
  </si>
  <si>
    <t>Control</t>
  </si>
  <si>
    <t>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</si>
</sst>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Sessions: reported vs adjusted  for February 2026 counting change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traffic_table_real!$J$1</c:f>
              <c:strCache>
                <c:ptCount val="1"/>
                <c:pt idx="0">
                  <c:v>Total Sessions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traffic_table_real!$A$2:$A$13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traffic_table_real!$J$2:$J$13</c:f>
              <c:numCache>
                <c:formatCode>General</c:formatCode>
                <c:ptCount val="12"/>
                <c:pt idx="0">
                  <c:v>57500</c:v>
                </c:pt>
                <c:pt idx="1">
                  <c:v>59000</c:v>
                </c:pt>
                <c:pt idx="2">
                  <c:v>75000</c:v>
                </c:pt>
                <c:pt idx="3">
                  <c:v>62400</c:v>
                </c:pt>
                <c:pt idx="4">
                  <c:v>64000</c:v>
                </c:pt>
                <c:pt idx="5">
                  <c:v>65500</c:v>
                </c:pt>
                <c:pt idx="6">
                  <c:v>67000</c:v>
                </c:pt>
                <c:pt idx="7">
                  <c:v>68500</c:v>
                </c:pt>
                <c:pt idx="8">
                  <c:v>70000</c:v>
                </c:pt>
                <c:pt idx="9">
                  <c:v>71500</c:v>
                </c:pt>
                <c:pt idx="10">
                  <c:v>73000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91-4108-A6FC-3E2D1FEE1884}"/>
            </c:ext>
          </c:extLst>
        </c:ser>
        <c:ser>
          <c:idx val="8"/>
          <c:order val="8"/>
          <c:tx>
            <c:strRef>
              <c:f>traffic_table_real!$K$1</c:f>
              <c:strCache>
                <c:ptCount val="1"/>
                <c:pt idx="0">
                  <c:v>FakeTotal Session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traffic_table_real!$A$2:$A$13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traffic_table_real!$K$2:$K$13</c:f>
              <c:numCache>
                <c:formatCode>General</c:formatCode>
                <c:ptCount val="12"/>
                <c:pt idx="0">
                  <c:v>57500</c:v>
                </c:pt>
                <c:pt idx="1">
                  <c:v>59000</c:v>
                </c:pt>
                <c:pt idx="2">
                  <c:v>75000</c:v>
                </c:pt>
                <c:pt idx="3">
                  <c:v>62400</c:v>
                </c:pt>
                <c:pt idx="4">
                  <c:v>64000</c:v>
                </c:pt>
                <c:pt idx="5">
                  <c:v>94685</c:v>
                </c:pt>
                <c:pt idx="6">
                  <c:v>96570</c:v>
                </c:pt>
                <c:pt idx="7">
                  <c:v>95845</c:v>
                </c:pt>
                <c:pt idx="8">
                  <c:v>97440</c:v>
                </c:pt>
                <c:pt idx="9">
                  <c:v>99035</c:v>
                </c:pt>
                <c:pt idx="10">
                  <c:v>100920</c:v>
                </c:pt>
                <c:pt idx="11">
                  <c:v>102805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91-4108-A6FC-3E2D1FEE188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561487"/>
        <c:axId val="1635702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traffic_table_real!$B$1</c15:sqref>
                        </c15:formulaRef>
                      </c:ext>
                    </c:extLst>
                    <c:strCache>
                      <c:ptCount val="1"/>
                      <c:pt idx="0">
                        <c:v>AI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traffic_table_real!$B$2:$B$13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18400</c:v>
                      </c:pt>
                      <c:pt idx="1">
                        <c:v>19100</c:v>
                      </c:pt>
                      <c:pt idx="2">
                        <c:v>19800</c:v>
                      </c:pt>
                      <c:pt idx="3">
                        <c:v>20500</c:v>
                      </c:pt>
                      <c:pt idx="4">
                        <c:v>21200</c:v>
                      </c:pt>
                      <c:pt idx="5">
                        <c:v>21900</c:v>
                      </c:pt>
                      <c:pt idx="6">
                        <c:v>22600</c:v>
                      </c:pt>
                      <c:pt idx="7">
                        <c:v>23300</c:v>
                      </c:pt>
                      <c:pt idx="8">
                        <c:v>24000</c:v>
                      </c:pt>
                      <c:pt idx="9">
                        <c:v>24700</c:v>
                      </c:pt>
                      <c:pt idx="10">
                        <c:v>25400</c:v>
                      </c:pt>
                      <c:pt idx="11">
                        <c:v>26100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A91-4108-A6FC-3E2D1FEE188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traffic_table_real!$D$1</c15:sqref>
                        </c15:formulaRef>
                      </c:ext>
                    </c:extLst>
                    <c:strCache>
                      <c:ptCount val="1"/>
                      <c:pt idx="0">
                        <c:v>Markets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12200</c:v>
                      </c:pt>
                      <c:pt idx="1">
                        <c:v>12500</c:v>
                      </c:pt>
                      <c:pt idx="2">
                        <c:v>12800</c:v>
                      </c:pt>
                      <c:pt idx="3">
                        <c:v>13100</c:v>
                      </c:pt>
                      <c:pt idx="4">
                        <c:v>13400</c:v>
                      </c:pt>
                      <c:pt idx="5">
                        <c:v>13700</c:v>
                      </c:pt>
                      <c:pt idx="6">
                        <c:v>14000</c:v>
                      </c:pt>
                      <c:pt idx="7">
                        <c:v>14300</c:v>
                      </c:pt>
                      <c:pt idx="8">
                        <c:v>14600</c:v>
                      </c:pt>
                      <c:pt idx="9">
                        <c:v>14900</c:v>
                      </c:pt>
                      <c:pt idx="10">
                        <c:v>15200</c:v>
                      </c:pt>
                      <c:pt idx="11">
                        <c:v>15500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A91-4108-A6FC-3E2D1FEE188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traffic_table_real!$E$1</c15:sqref>
                        </c15:formulaRef>
                      </c:ext>
                    </c:extLst>
                    <c:strCache>
                      <c:ptCount val="1"/>
                      <c:pt idx="0">
                        <c:v>Crypto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9800</c:v>
                      </c:pt>
                      <c:pt idx="1">
                        <c:v>10100</c:v>
                      </c:pt>
                      <c:pt idx="2">
                        <c:v>24800</c:v>
                      </c:pt>
                      <c:pt idx="3">
                        <c:v>11000</c:v>
                      </c:pt>
                      <c:pt idx="4">
                        <c:v>11400</c:v>
                      </c:pt>
                      <c:pt idx="5">
                        <c:v>11700</c:v>
                      </c:pt>
                      <c:pt idx="6">
                        <c:v>12000</c:v>
                      </c:pt>
                      <c:pt idx="7">
                        <c:v>12300</c:v>
                      </c:pt>
                      <c:pt idx="8">
                        <c:v>12600</c:v>
                      </c:pt>
                      <c:pt idx="9">
                        <c:v>12900</c:v>
                      </c:pt>
                      <c:pt idx="10">
                        <c:v>13200</c:v>
                      </c:pt>
                      <c:pt idx="11">
                        <c:v>13500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A91-4108-A6FC-3E2D1FEE188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traffic_table_real!$F$1</c15:sqref>
                        </c15:formulaRef>
                      </c:ext>
                    </c:extLst>
                    <c:strCache>
                      <c:ptCount val="1"/>
                      <c:pt idx="0">
                        <c:v>Breakthroughs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7600</c:v>
                      </c:pt>
                      <c:pt idx="1">
                        <c:v>7800</c:v>
                      </c:pt>
                      <c:pt idx="2">
                        <c:v>8100</c:v>
                      </c:pt>
                      <c:pt idx="3">
                        <c:v>8300</c:v>
                      </c:pt>
                      <c:pt idx="4">
                        <c:v>8500</c:v>
                      </c:pt>
                      <c:pt idx="5">
                        <c:v>8700</c:v>
                      </c:pt>
                      <c:pt idx="6">
                        <c:v>8900</c:v>
                      </c:pt>
                      <c:pt idx="7">
                        <c:v>9100</c:v>
                      </c:pt>
                      <c:pt idx="8">
                        <c:v>9300</c:v>
                      </c:pt>
                      <c:pt idx="9">
                        <c:v>9500</c:v>
                      </c:pt>
                      <c:pt idx="10">
                        <c:v>9700</c:v>
                      </c:pt>
                      <c:pt idx="11">
                        <c:v>9900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A91-4108-A6FC-3E2D1FEE188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traffic_table_real!$G$1</c15:sqref>
                        </c15:formulaRef>
                      </c:ext>
                    </c:extLst>
                    <c:strCache>
                      <c:ptCount val="1"/>
                      <c:pt idx="0">
                        <c:v>Policy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5400</c:v>
                      </c:pt>
                      <c:pt idx="1">
                        <c:v>5500</c:v>
                      </c:pt>
                      <c:pt idx="2">
                        <c:v>5600</c:v>
                      </c:pt>
                      <c:pt idx="3">
                        <c:v>5700</c:v>
                      </c:pt>
                      <c:pt idx="4">
                        <c:v>5800</c:v>
                      </c:pt>
                      <c:pt idx="5">
                        <c:v>5900</c:v>
                      </c:pt>
                      <c:pt idx="6">
                        <c:v>6000</c:v>
                      </c:pt>
                      <c:pt idx="7">
                        <c:v>6100</c:v>
                      </c:pt>
                      <c:pt idx="8">
                        <c:v>6200</c:v>
                      </c:pt>
                      <c:pt idx="9">
                        <c:v>6300</c:v>
                      </c:pt>
                      <c:pt idx="10">
                        <c:v>6400</c:v>
                      </c:pt>
                      <c:pt idx="11">
                        <c:v>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A91-4108-A6FC-3E2D1FEE188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traffic_table_real!$H$1</c15:sqref>
                        </c15:formulaRef>
                      </c:ext>
                    </c:extLst>
                    <c:strCache>
                      <c:ptCount val="1"/>
                      <c:pt idx="0">
                        <c:v>Guides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4100</c:v>
                      </c:pt>
                      <c:pt idx="1">
                        <c:v>4000</c:v>
                      </c:pt>
                      <c:pt idx="2">
                        <c:v>3900</c:v>
                      </c:pt>
                      <c:pt idx="3">
                        <c:v>3800</c:v>
                      </c:pt>
                      <c:pt idx="4">
                        <c:v>3700</c:v>
                      </c:pt>
                      <c:pt idx="5">
                        <c:v>3600</c:v>
                      </c:pt>
                      <c:pt idx="6">
                        <c:v>3500</c:v>
                      </c:pt>
                      <c:pt idx="7">
                        <c:v>3400</c:v>
                      </c:pt>
                      <c:pt idx="8">
                        <c:v>3300</c:v>
                      </c:pt>
                      <c:pt idx="9">
                        <c:v>3200</c:v>
                      </c:pt>
                      <c:pt idx="10">
                        <c:v>3100</c:v>
                      </c:pt>
                      <c:pt idx="11">
                        <c:v>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A91-4108-A6FC-3E2D1FEE188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traffic_table_real!$I$1</c15:sqref>
                        </c15:formulaRef>
                      </c:ext>
                    </c:extLst>
                    <c:strCache>
                      <c:ptCount val="1"/>
                      <c:pt idx="0">
                        <c:v>newsletter_signups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820</c:v>
                      </c:pt>
                      <c:pt idx="1">
                        <c:v>840</c:v>
                      </c:pt>
                      <c:pt idx="2">
                        <c:v>860</c:v>
                      </c:pt>
                      <c:pt idx="3">
                        <c:v>890</c:v>
                      </c:pt>
                      <c:pt idx="4">
                        <c:v>920</c:v>
                      </c:pt>
                      <c:pt idx="5">
                        <c:v>655</c:v>
                      </c:pt>
                      <c:pt idx="6">
                        <c:v>980</c:v>
                      </c:pt>
                      <c:pt idx="7">
                        <c:v>1010</c:v>
                      </c:pt>
                      <c:pt idx="8">
                        <c:v>1040</c:v>
                      </c:pt>
                      <c:pt idx="9">
                        <c:v>1070</c:v>
                      </c:pt>
                      <c:pt idx="10">
                        <c:v>1100</c:v>
                      </c:pt>
                      <c:pt idx="11">
                        <c:v>1140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A91-4108-A6FC-3E2D1FEE1884}"/>
                  </c:ext>
                </c:extLst>
              </c15:ser>
            </c15:filteredLineSeries>
          </c:ext>
        </c:extLst>
      </c:lineChart>
      <c:catAx>
        <c:axId val="1085614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crossAx val="163570287"/>
        <c:crosses val="autoZero"/>
        <c:auto val="1"/>
        <c:lblAlgn val="ctr"/>
        <c:lblOffset val="100"/>
        <c:noMultiLvlLbl val="0"/>
      </c:catAx>
      <c:valAx>
        <c:axId val="16357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Ssessions per month (six sessions)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856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Sessions: reported vs adjusted  for February 2026 counting change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traffic_table_real!$J$1</c:f>
              <c:strCache>
                <c:ptCount val="1"/>
                <c:pt idx="0">
                  <c:v>Total Sessions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traffic_table_real!$A$2:$A$13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traffic_table_real!$J$2:$J$13</c:f>
              <c:numCache>
                <c:formatCode>General</c:formatCode>
                <c:ptCount val="12"/>
                <c:pt idx="0">
                  <c:v>57500</c:v>
                </c:pt>
                <c:pt idx="1">
                  <c:v>59000</c:v>
                </c:pt>
                <c:pt idx="2">
                  <c:v>75000</c:v>
                </c:pt>
                <c:pt idx="3">
                  <c:v>62400</c:v>
                </c:pt>
                <c:pt idx="4">
                  <c:v>64000</c:v>
                </c:pt>
                <c:pt idx="5">
                  <c:v>65500</c:v>
                </c:pt>
                <c:pt idx="6">
                  <c:v>67000</c:v>
                </c:pt>
                <c:pt idx="7">
                  <c:v>68500</c:v>
                </c:pt>
                <c:pt idx="8">
                  <c:v>70000</c:v>
                </c:pt>
                <c:pt idx="9">
                  <c:v>71500</c:v>
                </c:pt>
                <c:pt idx="10">
                  <c:v>73000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6-402C-A604-750052A7A113}"/>
            </c:ext>
          </c:extLst>
        </c:ser>
        <c:ser>
          <c:idx val="8"/>
          <c:order val="8"/>
          <c:tx>
            <c:strRef>
              <c:f>traffic_table_real!$K$1</c:f>
              <c:strCache>
                <c:ptCount val="1"/>
                <c:pt idx="0">
                  <c:v>FakeTotal Session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traffic_table_real!$A$2:$A$13</c:f>
              <c:strCache>
                <c:ptCount val="12"/>
                <c:pt idx="0">
                  <c:v>2025-09</c:v>
                </c:pt>
                <c:pt idx="1">
                  <c:v>2025-10</c:v>
                </c:pt>
                <c:pt idx="2">
                  <c:v>2025-11</c:v>
                </c:pt>
                <c:pt idx="3">
                  <c:v>2025-12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traffic_table_real!$K$2:$K$13</c:f>
              <c:numCache>
                <c:formatCode>General</c:formatCode>
                <c:ptCount val="12"/>
                <c:pt idx="0">
                  <c:v>57500</c:v>
                </c:pt>
                <c:pt idx="1">
                  <c:v>59000</c:v>
                </c:pt>
                <c:pt idx="2">
                  <c:v>75000</c:v>
                </c:pt>
                <c:pt idx="3">
                  <c:v>62400</c:v>
                </c:pt>
                <c:pt idx="4">
                  <c:v>64000</c:v>
                </c:pt>
                <c:pt idx="5">
                  <c:v>94685</c:v>
                </c:pt>
                <c:pt idx="6">
                  <c:v>96570</c:v>
                </c:pt>
                <c:pt idx="7">
                  <c:v>95845</c:v>
                </c:pt>
                <c:pt idx="8">
                  <c:v>97440</c:v>
                </c:pt>
                <c:pt idx="9">
                  <c:v>99035</c:v>
                </c:pt>
                <c:pt idx="10">
                  <c:v>100920</c:v>
                </c:pt>
                <c:pt idx="11">
                  <c:v>102805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6-402C-A604-750052A7A11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561487"/>
        <c:axId val="1635702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traffic_table_real!$B$1</c15:sqref>
                        </c15:formulaRef>
                      </c:ext>
                    </c:extLst>
                    <c:strCache>
                      <c:ptCount val="1"/>
                      <c:pt idx="0">
                        <c:v>AI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traffic_table_real!$B$2:$B$13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18400</c:v>
                      </c:pt>
                      <c:pt idx="1">
                        <c:v>19100</c:v>
                      </c:pt>
                      <c:pt idx="2">
                        <c:v>19800</c:v>
                      </c:pt>
                      <c:pt idx="3">
                        <c:v>20500</c:v>
                      </c:pt>
                      <c:pt idx="4">
                        <c:v>21200</c:v>
                      </c:pt>
                      <c:pt idx="5">
                        <c:v>21900</c:v>
                      </c:pt>
                      <c:pt idx="6">
                        <c:v>22600</c:v>
                      </c:pt>
                      <c:pt idx="7">
                        <c:v>23300</c:v>
                      </c:pt>
                      <c:pt idx="8">
                        <c:v>24000</c:v>
                      </c:pt>
                      <c:pt idx="9">
                        <c:v>24700</c:v>
                      </c:pt>
                      <c:pt idx="10">
                        <c:v>25400</c:v>
                      </c:pt>
                      <c:pt idx="11">
                        <c:v>26100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6-402C-A604-750052A7A11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traffic_table_real!$D$1</c15:sqref>
                        </c15:formulaRef>
                      </c:ext>
                    </c:extLst>
                    <c:strCache>
                      <c:ptCount val="1"/>
                      <c:pt idx="0">
                        <c:v>Markets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traffic_table_real!$D$2:$D$13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12200</c:v>
                      </c:pt>
                      <c:pt idx="1">
                        <c:v>12500</c:v>
                      </c:pt>
                      <c:pt idx="2">
                        <c:v>12800</c:v>
                      </c:pt>
                      <c:pt idx="3">
                        <c:v>13100</c:v>
                      </c:pt>
                      <c:pt idx="4">
                        <c:v>13400</c:v>
                      </c:pt>
                      <c:pt idx="5">
                        <c:v>13700</c:v>
                      </c:pt>
                      <c:pt idx="6">
                        <c:v>14000</c:v>
                      </c:pt>
                      <c:pt idx="7">
                        <c:v>14300</c:v>
                      </c:pt>
                      <c:pt idx="8">
                        <c:v>14600</c:v>
                      </c:pt>
                      <c:pt idx="9">
                        <c:v>14900</c:v>
                      </c:pt>
                      <c:pt idx="10">
                        <c:v>15200</c:v>
                      </c:pt>
                      <c:pt idx="11">
                        <c:v>15500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6-402C-A604-750052A7A11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traffic_table_real!$E$1</c15:sqref>
                        </c15:formulaRef>
                      </c:ext>
                    </c:extLst>
                    <c:strCache>
                      <c:ptCount val="1"/>
                      <c:pt idx="0">
                        <c:v>Crypto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traffic_table_real!$E$2:$E$13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9800</c:v>
                      </c:pt>
                      <c:pt idx="1">
                        <c:v>10100</c:v>
                      </c:pt>
                      <c:pt idx="2">
                        <c:v>24800</c:v>
                      </c:pt>
                      <c:pt idx="3">
                        <c:v>11000</c:v>
                      </c:pt>
                      <c:pt idx="4">
                        <c:v>11400</c:v>
                      </c:pt>
                      <c:pt idx="5">
                        <c:v>11700</c:v>
                      </c:pt>
                      <c:pt idx="6">
                        <c:v>12000</c:v>
                      </c:pt>
                      <c:pt idx="7">
                        <c:v>12300</c:v>
                      </c:pt>
                      <c:pt idx="8">
                        <c:v>12600</c:v>
                      </c:pt>
                      <c:pt idx="9">
                        <c:v>12900</c:v>
                      </c:pt>
                      <c:pt idx="10">
                        <c:v>13200</c:v>
                      </c:pt>
                      <c:pt idx="11">
                        <c:v>13500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AB6-402C-A604-750052A7A11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traffic_table_real!$F$1</c15:sqref>
                        </c15:formulaRef>
                      </c:ext>
                    </c:extLst>
                    <c:strCache>
                      <c:ptCount val="1"/>
                      <c:pt idx="0">
                        <c:v>Breakthroughs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traffic_table_real!$F$2:$F$13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7600</c:v>
                      </c:pt>
                      <c:pt idx="1">
                        <c:v>7800</c:v>
                      </c:pt>
                      <c:pt idx="2">
                        <c:v>8100</c:v>
                      </c:pt>
                      <c:pt idx="3">
                        <c:v>8300</c:v>
                      </c:pt>
                      <c:pt idx="4">
                        <c:v>8500</c:v>
                      </c:pt>
                      <c:pt idx="5">
                        <c:v>8700</c:v>
                      </c:pt>
                      <c:pt idx="6">
                        <c:v>8900</c:v>
                      </c:pt>
                      <c:pt idx="7">
                        <c:v>9100</c:v>
                      </c:pt>
                      <c:pt idx="8">
                        <c:v>9300</c:v>
                      </c:pt>
                      <c:pt idx="9">
                        <c:v>9500</c:v>
                      </c:pt>
                      <c:pt idx="10">
                        <c:v>9700</c:v>
                      </c:pt>
                      <c:pt idx="11">
                        <c:v>9900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AB6-402C-A604-750052A7A11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traffic_table_real!$G$1</c15:sqref>
                        </c15:formulaRef>
                      </c:ext>
                    </c:extLst>
                    <c:strCache>
                      <c:ptCount val="1"/>
                      <c:pt idx="0">
                        <c:v>Policy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traffic_table_real!$G$2:$G$13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5400</c:v>
                      </c:pt>
                      <c:pt idx="1">
                        <c:v>5500</c:v>
                      </c:pt>
                      <c:pt idx="2">
                        <c:v>5600</c:v>
                      </c:pt>
                      <c:pt idx="3">
                        <c:v>5700</c:v>
                      </c:pt>
                      <c:pt idx="4">
                        <c:v>5800</c:v>
                      </c:pt>
                      <c:pt idx="5">
                        <c:v>5900</c:v>
                      </c:pt>
                      <c:pt idx="6">
                        <c:v>6000</c:v>
                      </c:pt>
                      <c:pt idx="7">
                        <c:v>6100</c:v>
                      </c:pt>
                      <c:pt idx="8">
                        <c:v>6200</c:v>
                      </c:pt>
                      <c:pt idx="9">
                        <c:v>6300</c:v>
                      </c:pt>
                      <c:pt idx="10">
                        <c:v>6400</c:v>
                      </c:pt>
                      <c:pt idx="11">
                        <c:v>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AB6-402C-A604-750052A7A11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traffic_table_real!$H$1</c15:sqref>
                        </c15:formulaRef>
                      </c:ext>
                    </c:extLst>
                    <c:strCache>
                      <c:ptCount val="1"/>
                      <c:pt idx="0">
                        <c:v>Guides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traffic_table_real!$H$2:$H$13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4100</c:v>
                      </c:pt>
                      <c:pt idx="1">
                        <c:v>4000</c:v>
                      </c:pt>
                      <c:pt idx="2">
                        <c:v>3900</c:v>
                      </c:pt>
                      <c:pt idx="3">
                        <c:v>3800</c:v>
                      </c:pt>
                      <c:pt idx="4">
                        <c:v>3700</c:v>
                      </c:pt>
                      <c:pt idx="5">
                        <c:v>3600</c:v>
                      </c:pt>
                      <c:pt idx="6">
                        <c:v>3500</c:v>
                      </c:pt>
                      <c:pt idx="7">
                        <c:v>3400</c:v>
                      </c:pt>
                      <c:pt idx="8">
                        <c:v>3300</c:v>
                      </c:pt>
                      <c:pt idx="9">
                        <c:v>3200</c:v>
                      </c:pt>
                      <c:pt idx="10">
                        <c:v>3100</c:v>
                      </c:pt>
                      <c:pt idx="11">
                        <c:v>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AB6-402C-A604-750052A7A11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traffic_table_real!$I$1</c15:sqref>
                        </c15:formulaRef>
                      </c:ext>
                    </c:extLst>
                    <c:strCache>
                      <c:ptCount val="1"/>
                      <c:pt idx="0">
                        <c:v>newsletter_signups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PK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traffic_table_real!$A$2:$A$13</c15:sqref>
                        </c15:formulaRef>
                      </c:ext>
                    </c:extLst>
                    <c:strCache>
                      <c:ptCount val="12"/>
                      <c:pt idx="0">
                        <c:v>2025-09</c:v>
                      </c:pt>
                      <c:pt idx="1">
                        <c:v>2025-10</c:v>
                      </c:pt>
                      <c:pt idx="2">
                        <c:v>2025-11</c:v>
                      </c:pt>
                      <c:pt idx="3">
                        <c:v>2025-12</c:v>
                      </c:pt>
                      <c:pt idx="4">
                        <c:v>2026-01</c:v>
                      </c:pt>
                      <c:pt idx="5">
                        <c:v>2026-02</c:v>
                      </c:pt>
                      <c:pt idx="6">
                        <c:v>2026-03</c:v>
                      </c:pt>
                      <c:pt idx="7">
                        <c:v>2026-04</c:v>
                      </c:pt>
                      <c:pt idx="8">
                        <c:v>2026-05</c:v>
                      </c:pt>
                      <c:pt idx="9">
                        <c:v>2026-06</c:v>
                      </c:pt>
                      <c:pt idx="10">
                        <c:v>2026-07</c:v>
                      </c:pt>
                      <c:pt idx="11">
                        <c:v>2026-08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traffic_table_real!$I$2:$I$13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820</c:v>
                      </c:pt>
                      <c:pt idx="1">
                        <c:v>840</c:v>
                      </c:pt>
                      <c:pt idx="2">
                        <c:v>860</c:v>
                      </c:pt>
                      <c:pt idx="3">
                        <c:v>890</c:v>
                      </c:pt>
                      <c:pt idx="4">
                        <c:v>920</c:v>
                      </c:pt>
                      <c:pt idx="5">
                        <c:v>655</c:v>
                      </c:pt>
                      <c:pt idx="6">
                        <c:v>980</c:v>
                      </c:pt>
                      <c:pt idx="7">
                        <c:v>1010</c:v>
                      </c:pt>
                      <c:pt idx="8">
                        <c:v>1040</c:v>
                      </c:pt>
                      <c:pt idx="9">
                        <c:v>1070</c:v>
                      </c:pt>
                      <c:pt idx="10">
                        <c:v>1100</c:v>
                      </c:pt>
                      <c:pt idx="11">
                        <c:v>1140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AB6-402C-A604-750052A7A113}"/>
                  </c:ext>
                </c:extLst>
              </c15:ser>
            </c15:filteredLineSeries>
          </c:ext>
        </c:extLst>
      </c:lineChart>
      <c:catAx>
        <c:axId val="108561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3570287"/>
        <c:crosses val="autoZero"/>
        <c:auto val="1"/>
        <c:lblAlgn val="ctr"/>
        <c:lblOffset val="100"/>
        <c:noMultiLvlLbl val="0"/>
      </c:catAx>
      <c:valAx>
        <c:axId val="16357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Ssessions per month (six sessions)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856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16566</xdr:colOff>
      <xdr:row>3</xdr:row>
      <xdr:rowOff>177247</xdr:rowOff>
    </xdr:from>
    <xdr:to>
      <xdr:col>20</xdr:col>
      <xdr:colOff>231913</xdr:colOff>
      <xdr:row>21</xdr:row>
      <xdr:rowOff>132521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970086-457D-8FDA-2720-13A7C5CB8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31</xdr:col>
      <xdr:colOff>219275</xdr:colOff>
      <xdr:row>42</xdr:row>
      <xdr:rowOff>108550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3DF369-BF5E-4F62-8A2E-E23C8052D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E233-7B9A-4815-BBBE-C429D715C1A5}">
  <dimension ref="A1:K18"/>
  <sheetViews>
    <sheetView tabSelected="1" zoomScale="68" zoomScaleNormal="95" workbookViewId="0">
      <selection activeCell="C1" sqref="C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20</v>
      </c>
      <c r="K1" t="s">
        <v>22</v>
      </c>
    </row>
    <row r="2" spans="1:11" x14ac:dyDescent="0.3">
      <c r="A2" t="s">
        <v>8</v>
      </c>
      <c r="B2">
        <v>18400</v>
      </c>
      <c r="D2">
        <v>12200</v>
      </c>
      <c r="E2">
        <v>9800</v>
      </c>
      <c r="F2">
        <v>7600</v>
      </c>
      <c r="G2">
        <v>5400</v>
      </c>
      <c r="H2">
        <v>4100</v>
      </c>
      <c r="I2">
        <v>820</v>
      </c>
      <c r="J2">
        <f>B2+D2+E2+F2+G2+H2</f>
        <v>57500</v>
      </c>
      <c r="K2">
        <v>57500</v>
      </c>
    </row>
    <row r="3" spans="1:11" x14ac:dyDescent="0.3">
      <c r="A3" t="s">
        <v>9</v>
      </c>
      <c r="B3">
        <v>19100</v>
      </c>
      <c r="D3">
        <v>12500</v>
      </c>
      <c r="E3">
        <v>10100</v>
      </c>
      <c r="F3">
        <v>7800</v>
      </c>
      <c r="G3">
        <v>5500</v>
      </c>
      <c r="H3">
        <v>4000</v>
      </c>
      <c r="I3">
        <v>840</v>
      </c>
      <c r="J3">
        <f t="shared" ref="J3:J13" si="0">B3+D3+E3+F3+G3+H3</f>
        <v>59000</v>
      </c>
      <c r="K3">
        <v>59000</v>
      </c>
    </row>
    <row r="4" spans="1:11" x14ac:dyDescent="0.3">
      <c r="A4" t="s">
        <v>10</v>
      </c>
      <c r="B4">
        <v>19800</v>
      </c>
      <c r="D4">
        <v>12800</v>
      </c>
      <c r="E4">
        <v>24800</v>
      </c>
      <c r="F4">
        <v>8100</v>
      </c>
      <c r="G4">
        <v>5600</v>
      </c>
      <c r="H4">
        <v>3900</v>
      </c>
      <c r="I4">
        <v>860</v>
      </c>
      <c r="J4">
        <f t="shared" si="0"/>
        <v>75000</v>
      </c>
      <c r="K4">
        <v>75000</v>
      </c>
    </row>
    <row r="5" spans="1:11" x14ac:dyDescent="0.3">
      <c r="A5" t="s">
        <v>11</v>
      </c>
      <c r="B5">
        <v>20500</v>
      </c>
      <c r="D5">
        <v>13100</v>
      </c>
      <c r="E5">
        <v>11000</v>
      </c>
      <c r="F5">
        <v>8300</v>
      </c>
      <c r="G5">
        <v>5700</v>
      </c>
      <c r="H5">
        <v>3800</v>
      </c>
      <c r="I5">
        <v>890</v>
      </c>
      <c r="J5">
        <f t="shared" si="0"/>
        <v>62400</v>
      </c>
      <c r="K5">
        <v>62400</v>
      </c>
    </row>
    <row r="6" spans="1:11" x14ac:dyDescent="0.3">
      <c r="A6" t="s">
        <v>12</v>
      </c>
      <c r="B6">
        <v>21200</v>
      </c>
      <c r="D6">
        <v>13400</v>
      </c>
      <c r="E6">
        <v>11400</v>
      </c>
      <c r="F6">
        <v>8500</v>
      </c>
      <c r="G6">
        <v>5800</v>
      </c>
      <c r="H6">
        <v>3700</v>
      </c>
      <c r="I6">
        <v>920</v>
      </c>
      <c r="J6">
        <f t="shared" si="0"/>
        <v>64000</v>
      </c>
      <c r="K6">
        <v>64000</v>
      </c>
    </row>
    <row r="7" spans="1:11" x14ac:dyDescent="0.3">
      <c r="A7" t="s">
        <v>13</v>
      </c>
      <c r="B7">
        <f>B6 +700</f>
        <v>21900</v>
      </c>
      <c r="D7">
        <f>D6+300</f>
        <v>13700</v>
      </c>
      <c r="E7">
        <f>E6+300</f>
        <v>11700</v>
      </c>
      <c r="F7">
        <f xml:space="preserve"> F6+200</f>
        <v>8700</v>
      </c>
      <c r="G7">
        <f>G6+100</f>
        <v>5900</v>
      </c>
      <c r="H7">
        <f>H6-100</f>
        <v>3600</v>
      </c>
      <c r="I7">
        <f>ROUND(950/1.45,0)</f>
        <v>655</v>
      </c>
      <c r="J7">
        <f t="shared" si="0"/>
        <v>65500</v>
      </c>
      <c r="K7">
        <v>94685</v>
      </c>
    </row>
    <row r="8" spans="1:11" x14ac:dyDescent="0.3">
      <c r="A8" t="s">
        <v>14</v>
      </c>
      <c r="B8">
        <f t="shared" ref="B8:B13" si="1">B7 +700</f>
        <v>22600</v>
      </c>
      <c r="D8">
        <f t="shared" ref="D8:D13" si="2">D7+300</f>
        <v>14000</v>
      </c>
      <c r="E8">
        <f t="shared" ref="E8:E13" si="3">E7+300</f>
        <v>12000</v>
      </c>
      <c r="F8">
        <f t="shared" ref="F8:F13" si="4" xml:space="preserve"> F7+200</f>
        <v>8900</v>
      </c>
      <c r="G8">
        <f t="shared" ref="G8:G13" si="5">G7+100</f>
        <v>6000</v>
      </c>
      <c r="H8">
        <f t="shared" ref="H8:H13" si="6">H7-100</f>
        <v>3500</v>
      </c>
      <c r="I8">
        <v>980</v>
      </c>
      <c r="J8">
        <f t="shared" si="0"/>
        <v>67000</v>
      </c>
      <c r="K8">
        <v>96570</v>
      </c>
    </row>
    <row r="9" spans="1:11" x14ac:dyDescent="0.3">
      <c r="A9" t="s">
        <v>15</v>
      </c>
      <c r="B9">
        <f t="shared" si="1"/>
        <v>23300</v>
      </c>
      <c r="D9">
        <f t="shared" si="2"/>
        <v>14300</v>
      </c>
      <c r="E9">
        <f t="shared" si="3"/>
        <v>12300</v>
      </c>
      <c r="F9">
        <f t="shared" si="4"/>
        <v>9100</v>
      </c>
      <c r="G9">
        <f t="shared" si="5"/>
        <v>6100</v>
      </c>
      <c r="H9">
        <f t="shared" si="6"/>
        <v>3400</v>
      </c>
      <c r="I9">
        <v>1010</v>
      </c>
      <c r="J9">
        <f t="shared" si="0"/>
        <v>68500</v>
      </c>
      <c r="K9">
        <v>95845</v>
      </c>
    </row>
    <row r="10" spans="1:11" x14ac:dyDescent="0.3">
      <c r="A10" t="s">
        <v>16</v>
      </c>
      <c r="B10">
        <f t="shared" si="1"/>
        <v>24000</v>
      </c>
      <c r="D10">
        <f t="shared" si="2"/>
        <v>14600</v>
      </c>
      <c r="E10">
        <f t="shared" si="3"/>
        <v>12600</v>
      </c>
      <c r="F10">
        <f t="shared" si="4"/>
        <v>9300</v>
      </c>
      <c r="G10">
        <f t="shared" si="5"/>
        <v>6200</v>
      </c>
      <c r="H10">
        <f t="shared" si="6"/>
        <v>3300</v>
      </c>
      <c r="I10">
        <v>1040</v>
      </c>
      <c r="J10">
        <f t="shared" si="0"/>
        <v>70000</v>
      </c>
      <c r="K10">
        <v>97440</v>
      </c>
    </row>
    <row r="11" spans="1:11" x14ac:dyDescent="0.3">
      <c r="A11" t="s">
        <v>17</v>
      </c>
      <c r="B11">
        <f t="shared" si="1"/>
        <v>24700</v>
      </c>
      <c r="D11">
        <f t="shared" si="2"/>
        <v>14900</v>
      </c>
      <c r="E11">
        <f t="shared" si="3"/>
        <v>12900</v>
      </c>
      <c r="F11">
        <f t="shared" si="4"/>
        <v>9500</v>
      </c>
      <c r="G11">
        <f t="shared" si="5"/>
        <v>6300</v>
      </c>
      <c r="H11">
        <f t="shared" si="6"/>
        <v>3200</v>
      </c>
      <c r="I11">
        <v>1070</v>
      </c>
      <c r="J11">
        <f t="shared" si="0"/>
        <v>71500</v>
      </c>
      <c r="K11">
        <v>99035</v>
      </c>
    </row>
    <row r="12" spans="1:11" x14ac:dyDescent="0.3">
      <c r="A12" t="s">
        <v>18</v>
      </c>
      <c r="B12">
        <f t="shared" si="1"/>
        <v>25400</v>
      </c>
      <c r="D12">
        <f t="shared" si="2"/>
        <v>15200</v>
      </c>
      <c r="E12">
        <f t="shared" si="3"/>
        <v>13200</v>
      </c>
      <c r="F12">
        <f t="shared" si="4"/>
        <v>9700</v>
      </c>
      <c r="G12">
        <f t="shared" si="5"/>
        <v>6400</v>
      </c>
      <c r="H12">
        <f t="shared" si="6"/>
        <v>3100</v>
      </c>
      <c r="I12">
        <v>1100</v>
      </c>
      <c r="J12">
        <f t="shared" si="0"/>
        <v>73000</v>
      </c>
      <c r="K12">
        <v>100920</v>
      </c>
    </row>
    <row r="13" spans="1:11" x14ac:dyDescent="0.3">
      <c r="A13" t="s">
        <v>19</v>
      </c>
      <c r="B13">
        <f t="shared" si="1"/>
        <v>26100</v>
      </c>
      <c r="D13">
        <f t="shared" si="2"/>
        <v>15500</v>
      </c>
      <c r="E13">
        <f t="shared" si="3"/>
        <v>13500</v>
      </c>
      <c r="F13">
        <f t="shared" si="4"/>
        <v>9900</v>
      </c>
      <c r="G13">
        <f t="shared" si="5"/>
        <v>6500</v>
      </c>
      <c r="H13">
        <f t="shared" si="6"/>
        <v>3000</v>
      </c>
      <c r="I13">
        <v>1140</v>
      </c>
      <c r="J13">
        <f t="shared" si="0"/>
        <v>74500</v>
      </c>
      <c r="K13">
        <v>102805</v>
      </c>
    </row>
    <row r="15" spans="1:11" x14ac:dyDescent="0.3">
      <c r="A15" t="s">
        <v>21</v>
      </c>
      <c r="I15">
        <f>(I13-I2)*100/I2</f>
        <v>39.024390243902438</v>
      </c>
      <c r="J15">
        <f>(75200-57500)*100/57500</f>
        <v>30.782608695652176</v>
      </c>
      <c r="K15">
        <f>(K13-K2)*100/K2</f>
        <v>78.791304347826085</v>
      </c>
    </row>
    <row r="17" spans="1:9" x14ac:dyDescent="0.3">
      <c r="A17" t="s">
        <v>23</v>
      </c>
      <c r="D17" t="s">
        <v>29</v>
      </c>
      <c r="E17" t="s">
        <v>29</v>
      </c>
      <c r="F17" t="s">
        <v>24</v>
      </c>
      <c r="G17" t="s">
        <v>29</v>
      </c>
      <c r="H17" t="s">
        <v>29</v>
      </c>
      <c r="I17" t="s">
        <v>28</v>
      </c>
    </row>
    <row r="18" spans="1:9" x14ac:dyDescent="0.3">
      <c r="A18" t="s">
        <v>27</v>
      </c>
      <c r="B18">
        <v>700</v>
      </c>
      <c r="D18">
        <v>300</v>
      </c>
      <c r="E18">
        <v>300</v>
      </c>
      <c r="F18" t="s">
        <v>26</v>
      </c>
      <c r="G18">
        <v>100</v>
      </c>
      <c r="H18">
        <v>-100</v>
      </c>
      <c r="I18" t="s">
        <v>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traffic_table_real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2026-10-06T12:26:18Z</dcterms:created>
  <dcterms:modified xsi:type="dcterms:W3CDTF">2026-10-06T14:52:56Z</dcterms:modified>
</cp:coreProperties>
</file>