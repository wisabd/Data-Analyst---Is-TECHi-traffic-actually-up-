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1442426-0AAE-4F2B-8E16-E7E0654B0168}" xr6:coauthVersionLast="47" xr6:coauthVersionMax="47" xr10:uidLastSave="{00000000-0000-0000-0000-000000000000}"/>
  <bookViews>
    <workbookView xWindow="-108" yWindow="-108" windowWidth="23256" windowHeight="12456" xr2:uid="{9E2D47E6-4AC6-438B-B7EB-29F52EB090A4}"/>
  </bookViews>
  <sheets>
    <sheet name="traffic_table_fake" sheetId="1" r:id="rId1"/>
  </sheets>
  <externalReferences>
    <externalReference r:id="rId2"/>
  </externalReferences>
  <definedNames>
    <definedName name="_xlnm._FilterDatabase" localSheetId="0" hidden="1">traffic_table_fake!$A$1:$S$13</definedName>
  </definedNames>
  <calcPr calcId="0"/>
</workbook>
</file>

<file path=xl/calcChain.xml><?xml version="1.0" encoding="utf-8"?>
<calcChain xmlns="http://schemas.openxmlformats.org/spreadsheetml/2006/main">
  <c r="C16" i="1" l="1"/>
  <c r="U4" i="1"/>
  <c r="U5" i="1"/>
  <c r="U6" i="1"/>
  <c r="U7" i="1"/>
  <c r="U8" i="1"/>
  <c r="U9" i="1"/>
  <c r="U10" i="1"/>
  <c r="U11" i="1"/>
  <c r="U12" i="1"/>
  <c r="U13" i="1"/>
  <c r="U3" i="1"/>
  <c r="R4" i="1"/>
  <c r="R5" i="1"/>
  <c r="R6" i="1"/>
  <c r="R7" i="1"/>
  <c r="R8" i="1"/>
  <c r="R9" i="1"/>
  <c r="R10" i="1"/>
  <c r="R11" i="1"/>
  <c r="R12" i="1"/>
  <c r="R13" i="1"/>
  <c r="R3" i="1"/>
  <c r="O4" i="1"/>
  <c r="O5" i="1"/>
  <c r="O6" i="1"/>
  <c r="O7" i="1"/>
  <c r="O8" i="1"/>
  <c r="O9" i="1"/>
  <c r="O10" i="1"/>
  <c r="O11" i="1"/>
  <c r="O12" i="1"/>
  <c r="O13" i="1"/>
  <c r="O3" i="1"/>
  <c r="L4" i="1"/>
  <c r="L5" i="1"/>
  <c r="L6" i="1"/>
  <c r="L7" i="1"/>
  <c r="L8" i="1"/>
  <c r="L9" i="1"/>
  <c r="L10" i="1"/>
  <c r="L11" i="1"/>
  <c r="L12" i="1"/>
  <c r="L13" i="1"/>
  <c r="L3" i="1"/>
  <c r="I4" i="1"/>
  <c r="I5" i="1"/>
  <c r="I6" i="1"/>
  <c r="I7" i="1"/>
  <c r="I8" i="1"/>
  <c r="I9" i="1"/>
  <c r="I10" i="1"/>
  <c r="I11" i="1"/>
  <c r="I12" i="1"/>
  <c r="I13" i="1"/>
  <c r="I3" i="1"/>
  <c r="F4" i="1"/>
  <c r="F5" i="1"/>
  <c r="F6" i="1"/>
  <c r="F7" i="1"/>
  <c r="F8" i="1"/>
  <c r="F9" i="1"/>
  <c r="F10" i="1"/>
  <c r="F11" i="1"/>
  <c r="F12" i="1"/>
  <c r="F13" i="1"/>
  <c r="F3" i="1"/>
  <c r="C4" i="1"/>
  <c r="C5" i="1"/>
  <c r="C6" i="1"/>
  <c r="C7" i="1"/>
  <c r="C8" i="1"/>
  <c r="C9" i="1"/>
  <c r="C10" i="1"/>
  <c r="C11" i="1"/>
  <c r="C12" i="1"/>
  <c r="C13" i="1"/>
  <c r="C3" i="1"/>
  <c r="T4" i="1"/>
  <c r="T5" i="1"/>
  <c r="T6" i="1"/>
  <c r="T7" i="1"/>
  <c r="T8" i="1"/>
  <c r="T9" i="1"/>
  <c r="T10" i="1"/>
  <c r="T11" i="1"/>
  <c r="T12" i="1"/>
  <c r="T13" i="1"/>
  <c r="T3" i="1"/>
  <c r="Q4" i="1"/>
  <c r="Q5" i="1"/>
  <c r="Q6" i="1"/>
  <c r="Q7" i="1"/>
  <c r="Q8" i="1"/>
  <c r="Q9" i="1"/>
  <c r="Q10" i="1"/>
  <c r="Q11" i="1"/>
  <c r="Q12" i="1"/>
  <c r="Q13" i="1"/>
  <c r="Q3" i="1"/>
  <c r="N4" i="1"/>
  <c r="N5" i="1"/>
  <c r="N6" i="1"/>
  <c r="N7" i="1"/>
  <c r="N8" i="1"/>
  <c r="N9" i="1"/>
  <c r="N10" i="1"/>
  <c r="N11" i="1"/>
  <c r="N12" i="1"/>
  <c r="N13" i="1"/>
  <c r="N3" i="1"/>
  <c r="K4" i="1"/>
  <c r="K5" i="1"/>
  <c r="K6" i="1"/>
  <c r="K7" i="1"/>
  <c r="K8" i="1"/>
  <c r="K9" i="1"/>
  <c r="K10" i="1"/>
  <c r="K11" i="1"/>
  <c r="K12" i="1"/>
  <c r="K13" i="1"/>
  <c r="K3" i="1"/>
  <c r="H4" i="1"/>
  <c r="H5" i="1"/>
  <c r="H6" i="1"/>
  <c r="H7" i="1"/>
  <c r="H8" i="1"/>
  <c r="H9" i="1"/>
  <c r="H10" i="1"/>
  <c r="H11" i="1"/>
  <c r="H12" i="1"/>
  <c r="H13" i="1"/>
  <c r="H3" i="1"/>
  <c r="E4" i="1"/>
  <c r="E5" i="1"/>
  <c r="E6" i="1"/>
  <c r="E7" i="1"/>
  <c r="E8" i="1"/>
  <c r="E9" i="1"/>
  <c r="E10" i="1"/>
  <c r="E11" i="1"/>
  <c r="E12" i="1"/>
  <c r="E13" i="1"/>
  <c r="E3" i="1"/>
  <c r="B4" i="1"/>
  <c r="B5" i="1"/>
  <c r="B6" i="1"/>
  <c r="B7" i="1"/>
  <c r="B8" i="1"/>
  <c r="B9" i="1"/>
  <c r="B10" i="1"/>
  <c r="B11" i="1"/>
  <c r="B12" i="1"/>
  <c r="B13" i="1"/>
  <c r="B3" i="1"/>
  <c r="X3" i="1"/>
  <c r="X4" i="1"/>
  <c r="W4" i="1" s="1"/>
  <c r="X5" i="1"/>
  <c r="W5" i="1" s="1"/>
  <c r="X6" i="1"/>
  <c r="X7" i="1"/>
  <c r="W7" i="1" s="1"/>
  <c r="X8" i="1"/>
  <c r="X9" i="1"/>
  <c r="W9" i="1" s="1"/>
  <c r="X10" i="1"/>
  <c r="X11" i="1"/>
  <c r="W11" i="1" s="1"/>
  <c r="X12" i="1"/>
  <c r="X13" i="1"/>
  <c r="X2" i="1"/>
  <c r="W13" i="1" l="1"/>
  <c r="W10" i="1"/>
  <c r="W12" i="1"/>
  <c r="W6" i="1"/>
  <c r="W8" i="1"/>
  <c r="W3" i="1"/>
</calcChain>
</file>

<file path=xl/sharedStrings.xml><?xml version="1.0" encoding="utf-8"?>
<sst xmlns="http://schemas.openxmlformats.org/spreadsheetml/2006/main" count="39" uniqueCount="39">
  <si>
    <t>month</t>
  </si>
  <si>
    <t>AI</t>
  </si>
  <si>
    <t>Markets</t>
  </si>
  <si>
    <t>Crypto</t>
  </si>
  <si>
    <t>Breakthroughs</t>
  </si>
  <si>
    <t>Policy</t>
  </si>
  <si>
    <t>Guides</t>
  </si>
  <si>
    <t>newsletter_signups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</si>
  <si>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</si>
  <si>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</si>
  <si>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</si>
  <si>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</si>
  <si>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</si>
  <si>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</si>
  <si>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</si>
  <si>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</si>
  <si>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</si>
  <si>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</si>
  <si>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</si>
  <si>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</si>
  <si>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Total Sessions</t>
  </si>
  <si>
    <t>Change Ratio-AI</t>
  </si>
  <si>
    <t>Change Ratio-Markets</t>
  </si>
  <si>
    <t>Change Ratio-Crypto</t>
  </si>
  <si>
    <t>Change Ratio-Breakthroughs</t>
  </si>
  <si>
    <t>Change Ratio-Policy</t>
  </si>
  <si>
    <t>Change Ratio-Guides</t>
  </si>
  <si>
    <t>Change Ratio-newsletter</t>
  </si>
  <si>
    <t>Change Ratio-Total Sessions</t>
  </si>
  <si>
    <t>Change AI</t>
  </si>
  <si>
    <t>Change Markets</t>
  </si>
  <si>
    <t>Change Crypto</t>
  </si>
  <si>
    <t>Percentage Change newsletter</t>
  </si>
  <si>
    <t>Change Breakthrough</t>
  </si>
  <si>
    <t>Change Policy</t>
  </si>
  <si>
    <t>Change Guides</t>
  </si>
  <si>
    <t>Change newsletter</t>
  </si>
  <si>
    <t xml:space="preserve">YoY Return </t>
  </si>
  <si>
    <t>Correction change+700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</si>
</sst>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traffic_table_fake!$D$1</c:f>
              <c:strCache>
                <c:ptCount val="1"/>
                <c:pt idx="0">
                  <c:v>AI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traffic_table_fake!$A$2:$A$13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traffic_table_fake!$D$2:$D$13</c:f>
              <c:numCache>
                <c:formatCode>General</c:formatCode>
                <c:ptCount val="12"/>
                <c:pt idx="0">
                  <c:v>18400</c:v>
                </c:pt>
                <c:pt idx="1">
                  <c:v>19100</c:v>
                </c:pt>
                <c:pt idx="2">
                  <c:v>19800</c:v>
                </c:pt>
                <c:pt idx="3">
                  <c:v>20500</c:v>
                </c:pt>
                <c:pt idx="4">
                  <c:v>21200</c:v>
                </c:pt>
                <c:pt idx="5">
                  <c:v>31610</c:v>
                </c:pt>
                <c:pt idx="6">
                  <c:v>32480</c:v>
                </c:pt>
                <c:pt idx="7">
                  <c:v>33350</c:v>
                </c:pt>
                <c:pt idx="8">
                  <c:v>34220</c:v>
                </c:pt>
                <c:pt idx="9">
                  <c:v>35090</c:v>
                </c:pt>
                <c:pt idx="10">
                  <c:v>35960</c:v>
                </c:pt>
                <c:pt idx="11">
                  <c:v>36830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6-4367-A078-8B49AD781037}"/>
            </c:ext>
          </c:extLst>
        </c:ser>
        <c:ser>
          <c:idx val="1"/>
          <c:order val="1"/>
          <c:tx>
            <c:strRef>
              <c:f>traffic_table_fake!$G$1</c:f>
              <c:strCache>
                <c:ptCount val="1"/>
                <c:pt idx="0">
                  <c:v>Markets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traffic_table_fake!$A$2:$A$13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traffic_table_fake!$G$2:$G$13</c:f>
              <c:numCache>
                <c:formatCode>General</c:formatCode>
                <c:ptCount val="12"/>
                <c:pt idx="0">
                  <c:v>12200</c:v>
                </c:pt>
                <c:pt idx="1">
                  <c:v>12500</c:v>
                </c:pt>
                <c:pt idx="2">
                  <c:v>12800</c:v>
                </c:pt>
                <c:pt idx="3">
                  <c:v>13100</c:v>
                </c:pt>
                <c:pt idx="4">
                  <c:v>13400</c:v>
                </c:pt>
                <c:pt idx="5">
                  <c:v>19865</c:v>
                </c:pt>
                <c:pt idx="6">
                  <c:v>20300</c:v>
                </c:pt>
                <c:pt idx="7">
                  <c:v>20735</c:v>
                </c:pt>
                <c:pt idx="8">
                  <c:v>21170</c:v>
                </c:pt>
                <c:pt idx="9">
                  <c:v>21605</c:v>
                </c:pt>
                <c:pt idx="10">
                  <c:v>22040</c:v>
                </c:pt>
                <c:pt idx="11">
                  <c:v>22475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6-4367-A078-8B49AD781037}"/>
            </c:ext>
          </c:extLst>
        </c:ser>
        <c:ser>
          <c:idx val="2"/>
          <c:order val="2"/>
          <c:tx>
            <c:strRef>
              <c:f>traffic_table_fake!$J$1</c:f>
              <c:strCache>
                <c:ptCount val="1"/>
                <c:pt idx="0">
                  <c:v>Crypto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traffic_table_fake!$A$2:$A$13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traffic_table_fake!$J$2:$J$13</c:f>
              <c:numCache>
                <c:formatCode>General</c:formatCode>
                <c:ptCount val="12"/>
                <c:pt idx="0">
                  <c:v>9800</c:v>
                </c:pt>
                <c:pt idx="1">
                  <c:v>10100</c:v>
                </c:pt>
                <c:pt idx="2">
                  <c:v>24800</c:v>
                </c:pt>
                <c:pt idx="3">
                  <c:v>11000</c:v>
                </c:pt>
                <c:pt idx="4">
                  <c:v>11400</c:v>
                </c:pt>
                <c:pt idx="5">
                  <c:v>16820</c:v>
                </c:pt>
                <c:pt idx="6">
                  <c:v>17255</c:v>
                </c:pt>
                <c:pt idx="7">
                  <c:v>17545</c:v>
                </c:pt>
                <c:pt idx="8">
                  <c:v>17980</c:v>
                </c:pt>
                <c:pt idx="9">
                  <c:v>18270</c:v>
                </c:pt>
                <c:pt idx="10">
                  <c:v>18705</c:v>
                </c:pt>
                <c:pt idx="11">
                  <c:v>18995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E6-4367-A078-8B49AD781037}"/>
            </c:ext>
          </c:extLst>
        </c:ser>
        <c:ser>
          <c:idx val="3"/>
          <c:order val="3"/>
          <c:tx>
            <c:strRef>
              <c:f>traffic_table_fake!$M$1</c:f>
              <c:strCache>
                <c:ptCount val="1"/>
                <c:pt idx="0">
                  <c:v>Breakthroughs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traffic_table_fake!$A$2:$A$13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traffic_table_fake!$M$2:$M$13</c:f>
              <c:numCache>
                <c:formatCode>General</c:formatCode>
                <c:ptCount val="12"/>
                <c:pt idx="0">
                  <c:v>7600</c:v>
                </c:pt>
                <c:pt idx="1">
                  <c:v>7800</c:v>
                </c:pt>
                <c:pt idx="2">
                  <c:v>8100</c:v>
                </c:pt>
                <c:pt idx="3">
                  <c:v>8300</c:v>
                </c:pt>
                <c:pt idx="4">
                  <c:v>8500</c:v>
                </c:pt>
                <c:pt idx="5">
                  <c:v>12615</c:v>
                </c:pt>
                <c:pt idx="6">
                  <c:v>12905</c:v>
                </c:pt>
                <c:pt idx="7">
                  <c:v>13195</c:v>
                </c:pt>
                <c:pt idx="8">
                  <c:v>13485</c:v>
                </c:pt>
                <c:pt idx="9">
                  <c:v>13775</c:v>
                </c:pt>
                <c:pt idx="10">
                  <c:v>14065</c:v>
                </c:pt>
                <c:pt idx="11">
                  <c:v>14355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E6-4367-A078-8B49AD781037}"/>
            </c:ext>
          </c:extLst>
        </c:ser>
        <c:ser>
          <c:idx val="4"/>
          <c:order val="4"/>
          <c:tx>
            <c:strRef>
              <c:f>traffic_table_fake!$P$1</c:f>
              <c:strCache>
                <c:ptCount val="1"/>
                <c:pt idx="0">
                  <c:v>Policy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traffic_table_fake!$A$2:$A$13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traffic_table_fake!$P$2:$P$13</c:f>
              <c:numCache>
                <c:formatCode>General</c:formatCode>
                <c:ptCount val="12"/>
                <c:pt idx="0">
                  <c:v>5400</c:v>
                </c:pt>
                <c:pt idx="1">
                  <c:v>5500</c:v>
                </c:pt>
                <c:pt idx="2">
                  <c:v>5600</c:v>
                </c:pt>
                <c:pt idx="3">
                  <c:v>5700</c:v>
                </c:pt>
                <c:pt idx="4">
                  <c:v>5800</c:v>
                </c:pt>
                <c:pt idx="5">
                  <c:v>8555</c:v>
                </c:pt>
                <c:pt idx="6">
                  <c:v>8700</c:v>
                </c:pt>
                <c:pt idx="7">
                  <c:v>8845</c:v>
                </c:pt>
                <c:pt idx="8">
                  <c:v>8990</c:v>
                </c:pt>
                <c:pt idx="9">
                  <c:v>9135</c:v>
                </c:pt>
                <c:pt idx="10">
                  <c:v>9280</c:v>
                </c:pt>
                <c:pt idx="11">
                  <c:v>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E6-4367-A078-8B49AD781037}"/>
            </c:ext>
          </c:extLst>
        </c:ser>
        <c:ser>
          <c:idx val="5"/>
          <c:order val="5"/>
          <c:tx>
            <c:strRef>
              <c:f>traffic_table_fake!$S$1</c:f>
              <c:strCache>
                <c:ptCount val="1"/>
                <c:pt idx="0">
                  <c:v>Guides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traffic_table_fake!$A$2:$A$13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traffic_table_fake!$S$2:$S$13</c:f>
              <c:numCache>
                <c:formatCode>General</c:formatCode>
                <c:ptCount val="12"/>
                <c:pt idx="0">
                  <c:v>4100</c:v>
                </c:pt>
                <c:pt idx="1">
                  <c:v>4000</c:v>
                </c:pt>
                <c:pt idx="2">
                  <c:v>3900</c:v>
                </c:pt>
                <c:pt idx="3">
                  <c:v>3800</c:v>
                </c:pt>
                <c:pt idx="4">
                  <c:v>3700</c:v>
                </c:pt>
                <c:pt idx="5">
                  <c:v>5220</c:v>
                </c:pt>
                <c:pt idx="6">
                  <c:v>4930</c:v>
                </c:pt>
                <c:pt idx="7">
                  <c:v>2175</c:v>
                </c:pt>
                <c:pt idx="8">
                  <c:v>1595</c:v>
                </c:pt>
                <c:pt idx="9">
                  <c:v>1160</c:v>
                </c:pt>
                <c:pt idx="10">
                  <c:v>870</c:v>
                </c:pt>
                <c:pt idx="11">
                  <c:v>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E6-4367-A078-8B49AD781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879759"/>
        <c:axId val="53430831"/>
      </c:lineChart>
      <c:catAx>
        <c:axId val="134187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53430831"/>
        <c:crosses val="autoZero"/>
        <c:auto val="1"/>
        <c:lblAlgn val="ctr"/>
        <c:lblOffset val="100"/>
        <c:noMultiLvlLbl val="0"/>
      </c:catAx>
      <c:valAx>
        <c:axId val="5343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4187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traffic_table_fake!$W$1</c:f>
              <c:strCache>
                <c:ptCount val="1"/>
                <c:pt idx="0">
                  <c:v>Change Ratio-Total Sessions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traffic_table_fake!$W$2:$W$13</c:f>
              <c:numCache>
                <c:formatCode>General</c:formatCode>
                <c:ptCount val="12"/>
                <c:pt idx="1">
                  <c:v>1.0260869565217392</c:v>
                </c:pt>
                <c:pt idx="2">
                  <c:v>1.271186440677966</c:v>
                </c:pt>
                <c:pt idx="3">
                  <c:v>0.83199999999999996</c:v>
                </c:pt>
                <c:pt idx="4">
                  <c:v>1.0256410256410255</c:v>
                </c:pt>
                <c:pt idx="5">
                  <c:v>1.479453125</c:v>
                </c:pt>
                <c:pt idx="6">
                  <c:v>1.0199081163859112</c:v>
                </c:pt>
                <c:pt idx="7">
                  <c:v>0.9924924924924925</c:v>
                </c:pt>
                <c:pt idx="8">
                  <c:v>1.0166414523449319</c:v>
                </c:pt>
                <c:pt idx="9">
                  <c:v>1.0163690476190477</c:v>
                </c:pt>
                <c:pt idx="10">
                  <c:v>1.0190336749633968</c:v>
                </c:pt>
                <c:pt idx="11">
                  <c:v>1.0186781609195403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5-4FB4-AEB1-818308D06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745983"/>
        <c:axId val="163536687"/>
        <c:axId val="0"/>
      </c:bar3DChart>
      <c:catAx>
        <c:axId val="65745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3536687"/>
        <c:crosses val="autoZero"/>
        <c:auto val="1"/>
        <c:lblAlgn val="ctr"/>
        <c:lblOffset val="100"/>
        <c:noMultiLvlLbl val="0"/>
      </c:catAx>
      <c:valAx>
        <c:axId val="1635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574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9.7025371828521445E-2"/>
          <c:y val="0.19486111111111112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traffic_table_fake!$U$1</c:f>
              <c:strCache>
                <c:ptCount val="1"/>
                <c:pt idx="0">
                  <c:v>Change newsletter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traffic_table_fake!$U$2:$U$13</c:f>
              <c:numCache>
                <c:formatCode>General</c:formatCode>
                <c:ptCount val="12"/>
                <c:pt idx="1">
                  <c:v>20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4-4456-A709-AA07B5842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43327"/>
        <c:axId val="163546767"/>
      </c:barChart>
      <c:catAx>
        <c:axId val="108143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3546767"/>
        <c:crosses val="autoZero"/>
        <c:auto val="1"/>
        <c:lblAlgn val="ctr"/>
        <c:lblOffset val="100"/>
        <c:noMultiLvlLbl val="0"/>
      </c:catAx>
      <c:valAx>
        <c:axId val="1635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814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1350013</xdr:colOff>
      <xdr:row>23</xdr:row>
      <xdr:rowOff>28761</xdr:rowOff>
    </xdr:from>
    <xdr:to>
      <xdr:col>11</xdr:col>
      <xdr:colOff>1000804</xdr:colOff>
      <xdr:row>37</xdr:row>
      <xdr:rowOff>124431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BD395C-8938-1699-0988-7899E6B17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1294076</xdr:colOff>
      <xdr:row>43</xdr:row>
      <xdr:rowOff>35117</xdr:rowOff>
    </xdr:from>
    <xdr:to>
      <xdr:col>14</xdr:col>
      <xdr:colOff>152765</xdr:colOff>
      <xdr:row>58</xdr:row>
      <xdr:rowOff>7408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B5DA51-3ABE-3CFC-9318-29EFE8A68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814990</xdr:colOff>
      <xdr:row>22</xdr:row>
      <xdr:rowOff>145361</xdr:rowOff>
    </xdr:from>
    <xdr:to>
      <xdr:col>18</xdr:col>
      <xdr:colOff>141998</xdr:colOff>
      <xdr:row>37</xdr:row>
      <xdr:rowOff>117653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E09117-4343-2763-FB49-CBF880719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traffic_table_real.xlsx" TargetMode="External"/><Relationship Id="rId1" Type="http://schemas.openxmlformats.org/officeDocument/2006/relationships/externalLinkPath" Target="traffic_table_re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ffic_table_real"/>
    </sheetNames>
    <sheetDataSet>
      <sheetData sheetId="0">
        <row r="1">
          <cell r="B1" t="str">
            <v>AI</v>
          </cell>
          <cell r="C1" t="str">
            <v>Markets</v>
          </cell>
          <cell r="D1" t="str">
            <v>Crypto</v>
          </cell>
          <cell r="E1" t="str">
            <v>Breakthroughs</v>
          </cell>
          <cell r="F1" t="str">
            <v>Policy</v>
          </cell>
          <cell r="G1" t="str">
            <v>Guides</v>
          </cell>
          <cell r="H1" t="str">
            <v>newsletter_signups</v>
          </cell>
          <cell r="I1" t="str">
            <v>Total Sessions</v>
          </cell>
          <cell r="J1" t="str">
            <v>FakeTotal Session</v>
          </cell>
        </row>
        <row r="2">
          <cell r="A2" t="str">
            <v>2025-09</v>
          </cell>
          <cell r="B2">
            <v>18400</v>
          </cell>
          <cell r="C2">
            <v>12200</v>
          </cell>
          <cell r="D2">
            <v>9800</v>
          </cell>
          <cell r="E2">
            <v>7600</v>
          </cell>
          <cell r="F2">
            <v>5400</v>
          </cell>
          <cell r="G2">
            <v>4100</v>
          </cell>
          <cell r="H2">
            <v>820</v>
          </cell>
          <cell r="I2">
            <v>57500</v>
          </cell>
          <cell r="J2">
            <v>57500</v>
          </cell>
        </row>
        <row r="3">
          <cell r="A3" t="str">
            <v>2025-10</v>
          </cell>
          <cell r="B3">
            <v>19100</v>
          </cell>
          <cell r="C3">
            <v>12500</v>
          </cell>
          <cell r="D3">
            <v>10100</v>
          </cell>
          <cell r="E3">
            <v>7800</v>
          </cell>
          <cell r="F3">
            <v>5500</v>
          </cell>
          <cell r="G3">
            <v>4000</v>
          </cell>
          <cell r="H3">
            <v>840</v>
          </cell>
          <cell r="I3">
            <v>59000</v>
          </cell>
          <cell r="J3">
            <v>59000</v>
          </cell>
        </row>
        <row r="4">
          <cell r="A4" t="str">
            <v>2025-11</v>
          </cell>
          <cell r="B4">
            <v>19800</v>
          </cell>
          <cell r="C4">
            <v>12800</v>
          </cell>
          <cell r="D4">
            <v>24800</v>
          </cell>
          <cell r="E4">
            <v>8100</v>
          </cell>
          <cell r="F4">
            <v>5600</v>
          </cell>
          <cell r="G4">
            <v>3900</v>
          </cell>
          <cell r="H4">
            <v>860</v>
          </cell>
          <cell r="I4">
            <v>75000</v>
          </cell>
          <cell r="J4">
            <v>75000</v>
          </cell>
        </row>
        <row r="5">
          <cell r="A5" t="str">
            <v>2025-12</v>
          </cell>
          <cell r="B5">
            <v>20500</v>
          </cell>
          <cell r="C5">
            <v>13100</v>
          </cell>
          <cell r="D5">
            <v>11000</v>
          </cell>
          <cell r="E5">
            <v>8300</v>
          </cell>
          <cell r="F5">
            <v>5700</v>
          </cell>
          <cell r="G5">
            <v>3800</v>
          </cell>
          <cell r="H5">
            <v>890</v>
          </cell>
          <cell r="I5">
            <v>62400</v>
          </cell>
          <cell r="J5">
            <v>62400</v>
          </cell>
        </row>
        <row r="6">
          <cell r="A6" t="str">
            <v>2026-01</v>
          </cell>
          <cell r="B6">
            <v>21200</v>
          </cell>
          <cell r="C6">
            <v>13400</v>
          </cell>
          <cell r="D6">
            <v>11400</v>
          </cell>
          <cell r="E6">
            <v>8500</v>
          </cell>
          <cell r="F6">
            <v>5800</v>
          </cell>
          <cell r="G6">
            <v>3700</v>
          </cell>
          <cell r="H6">
            <v>920</v>
          </cell>
          <cell r="I6">
            <v>64000</v>
          </cell>
          <cell r="J6">
            <v>64000</v>
          </cell>
        </row>
        <row r="7">
          <cell r="A7" t="str">
            <v>2026-02</v>
          </cell>
          <cell r="B7">
            <v>21900</v>
          </cell>
          <cell r="C7">
            <v>13700</v>
          </cell>
          <cell r="D7">
            <v>11700</v>
          </cell>
          <cell r="E7">
            <v>8700</v>
          </cell>
          <cell r="F7">
            <v>5900</v>
          </cell>
          <cell r="G7">
            <v>3600</v>
          </cell>
          <cell r="H7">
            <v>655</v>
          </cell>
          <cell r="I7">
            <v>65500</v>
          </cell>
          <cell r="J7">
            <v>94685</v>
          </cell>
        </row>
        <row r="8">
          <cell r="A8" t="str">
            <v>2026-03</v>
          </cell>
          <cell r="B8">
            <v>22600</v>
          </cell>
          <cell r="C8">
            <v>14000</v>
          </cell>
          <cell r="D8">
            <v>12000</v>
          </cell>
          <cell r="E8">
            <v>8900</v>
          </cell>
          <cell r="F8">
            <v>6000</v>
          </cell>
          <cell r="G8">
            <v>3500</v>
          </cell>
          <cell r="H8">
            <v>980</v>
          </cell>
          <cell r="I8">
            <v>67000</v>
          </cell>
          <cell r="J8">
            <v>96570</v>
          </cell>
        </row>
        <row r="9">
          <cell r="A9" t="str">
            <v>2026-04</v>
          </cell>
          <cell r="B9">
            <v>23300</v>
          </cell>
          <cell r="C9">
            <v>14300</v>
          </cell>
          <cell r="D9">
            <v>12300</v>
          </cell>
          <cell r="E9">
            <v>9100</v>
          </cell>
          <cell r="F9">
            <v>6100</v>
          </cell>
          <cell r="G9">
            <v>3400</v>
          </cell>
          <cell r="H9">
            <v>1010</v>
          </cell>
          <cell r="I9">
            <v>68500</v>
          </cell>
          <cell r="J9">
            <v>95845</v>
          </cell>
        </row>
        <row r="10">
          <cell r="A10" t="str">
            <v>2026-05</v>
          </cell>
          <cell r="B10">
            <v>24000</v>
          </cell>
          <cell r="C10">
            <v>14600</v>
          </cell>
          <cell r="D10">
            <v>12600</v>
          </cell>
          <cell r="E10">
            <v>9300</v>
          </cell>
          <cell r="F10">
            <v>6200</v>
          </cell>
          <cell r="G10">
            <v>3300</v>
          </cell>
          <cell r="H10">
            <v>1040</v>
          </cell>
          <cell r="I10">
            <v>70000</v>
          </cell>
          <cell r="J10">
            <v>97440</v>
          </cell>
        </row>
        <row r="11">
          <cell r="A11" t="str">
            <v>2026-06</v>
          </cell>
          <cell r="B11">
            <v>24700</v>
          </cell>
          <cell r="C11">
            <v>14900</v>
          </cell>
          <cell r="D11">
            <v>12900</v>
          </cell>
          <cell r="E11">
            <v>9500</v>
          </cell>
          <cell r="F11">
            <v>6300</v>
          </cell>
          <cell r="G11">
            <v>3200</v>
          </cell>
          <cell r="H11">
            <v>1070</v>
          </cell>
          <cell r="I11">
            <v>71500</v>
          </cell>
          <cell r="J11">
            <v>99035</v>
          </cell>
        </row>
        <row r="12">
          <cell r="A12" t="str">
            <v>2026-07</v>
          </cell>
          <cell r="B12">
            <v>25400</v>
          </cell>
          <cell r="C12">
            <v>15200</v>
          </cell>
          <cell r="D12">
            <v>13200</v>
          </cell>
          <cell r="E12">
            <v>9700</v>
          </cell>
          <cell r="F12">
            <v>6400</v>
          </cell>
          <cell r="G12">
            <v>3100</v>
          </cell>
          <cell r="H12">
            <v>1100</v>
          </cell>
          <cell r="I12">
            <v>73000</v>
          </cell>
          <cell r="J12">
            <v>100920</v>
          </cell>
        </row>
        <row r="13">
          <cell r="A13" t="str">
            <v>2026-08</v>
          </cell>
          <cell r="B13">
            <v>26100</v>
          </cell>
          <cell r="C13">
            <v>15500</v>
          </cell>
          <cell r="D13">
            <v>13500</v>
          </cell>
          <cell r="E13">
            <v>9900</v>
          </cell>
          <cell r="F13">
            <v>6500</v>
          </cell>
          <cell r="G13">
            <v>3000</v>
          </cell>
          <cell r="H13">
            <v>1140</v>
          </cell>
          <cell r="I13">
            <v>74500</v>
          </cell>
          <cell r="J13">
            <v>102805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32E9-829F-41B6-BA87-36453F71AB9F}">
  <dimension ref="A1:X19"/>
  <sheetViews>
    <sheetView tabSelected="1" zoomScale="78" zoomScaleNormal="31" workbookViewId="0">
      <selection activeCell="H7" sqref="H7"/>
    </sheetView>
  </sheetViews>
  <sheetFormatPr defaultRowHeight="14.4" x14ac:dyDescent="0.3"/>
  <cols>
    <col min="2" max="2" width="14.44140625" customWidth="1"/>
    <col min="3" max="3" width="9.21875" bestFit="1" customWidth="1"/>
    <col min="5" max="5" width="20.21875" customWidth="1"/>
    <col min="6" max="6" width="18.109375" customWidth="1"/>
    <col min="8" max="8" width="22.44140625" customWidth="1"/>
    <col min="9" max="9" width="16.21875" customWidth="1"/>
    <col min="11" max="11" width="24.109375" customWidth="1"/>
    <col min="12" max="12" width="22.21875" customWidth="1"/>
    <col min="13" max="13" width="18.77734375" customWidth="1"/>
    <col min="14" max="14" width="18.21875" customWidth="1"/>
    <col min="15" max="15" width="12.5546875" bestFit="1" customWidth="1"/>
    <col min="17" max="17" width="19.109375" customWidth="1"/>
    <col min="18" max="18" width="17.44140625" customWidth="1"/>
    <col min="20" max="20" width="22.33203125" customWidth="1"/>
    <col min="21" max="21" width="16.33203125" customWidth="1"/>
    <col min="22" max="22" width="19.44140625" customWidth="1"/>
    <col min="23" max="23" width="16.6640625" customWidth="1"/>
  </cols>
  <sheetData>
    <row r="1" spans="1:24" x14ac:dyDescent="0.3">
      <c r="A1" t="s">
        <v>0</v>
      </c>
      <c r="B1" t="s">
        <v>21</v>
      </c>
      <c r="C1" t="s">
        <v>29</v>
      </c>
      <c r="D1" t="s">
        <v>1</v>
      </c>
      <c r="E1" t="s">
        <v>22</v>
      </c>
      <c r="F1" t="s">
        <v>30</v>
      </c>
      <c r="G1" t="s">
        <v>2</v>
      </c>
      <c r="H1" t="s">
        <v>23</v>
      </c>
      <c r="I1" t="s">
        <v>31</v>
      </c>
      <c r="J1" t="s">
        <v>3</v>
      </c>
      <c r="K1" t="s">
        <v>24</v>
      </c>
      <c r="L1" t="s">
        <v>33</v>
      </c>
      <c r="M1" t="s">
        <v>4</v>
      </c>
      <c r="N1" t="s">
        <v>25</v>
      </c>
      <c r="O1" t="s">
        <v>34</v>
      </c>
      <c r="P1" t="s">
        <v>5</v>
      </c>
      <c r="Q1" t="s">
        <v>26</v>
      </c>
      <c r="R1" t="s">
        <v>35</v>
      </c>
      <c r="S1" t="s">
        <v>6</v>
      </c>
      <c r="T1" t="s">
        <v>27</v>
      </c>
      <c r="U1" t="s">
        <v>36</v>
      </c>
      <c r="V1" t="s">
        <v>7</v>
      </c>
      <c r="W1" t="s">
        <v>28</v>
      </c>
      <c r="X1" t="s">
        <v>20</v>
      </c>
    </row>
    <row r="2" spans="1:24" x14ac:dyDescent="0.3">
      <c r="A2" t="s">
        <v>8</v>
      </c>
      <c r="D2">
        <v>18400</v>
      </c>
      <c r="G2">
        <v>12200</v>
      </c>
      <c r="J2">
        <v>9800</v>
      </c>
      <c r="M2">
        <v>7600</v>
      </c>
      <c r="P2">
        <v>5400</v>
      </c>
      <c r="S2">
        <v>4100</v>
      </c>
      <c r="V2">
        <v>820</v>
      </c>
      <c r="X2">
        <f>D2+G2+J2+M2+P2+S2</f>
        <v>57500</v>
      </c>
    </row>
    <row r="3" spans="1:24" x14ac:dyDescent="0.3">
      <c r="A3" t="s">
        <v>9</v>
      </c>
      <c r="B3">
        <f>D3/D2</f>
        <v>1.0380434782608696</v>
      </c>
      <c r="C3">
        <f>D3-D2</f>
        <v>700</v>
      </c>
      <c r="D3">
        <v>19100</v>
      </c>
      <c r="E3">
        <f>G3/G2</f>
        <v>1.0245901639344261</v>
      </c>
      <c r="F3">
        <f>G3-G2</f>
        <v>300</v>
      </c>
      <c r="G3">
        <v>12500</v>
      </c>
      <c r="H3">
        <f>J3/J2</f>
        <v>1.0306122448979591</v>
      </c>
      <c r="I3">
        <f>J3-J2</f>
        <v>300</v>
      </c>
      <c r="J3">
        <v>10100</v>
      </c>
      <c r="K3">
        <f>M3/M2</f>
        <v>1.0263157894736843</v>
      </c>
      <c r="L3">
        <f>M3-M2</f>
        <v>200</v>
      </c>
      <c r="M3">
        <v>7800</v>
      </c>
      <c r="N3">
        <f>P3/P2</f>
        <v>1.0185185185185186</v>
      </c>
      <c r="O3">
        <f>P3-P2</f>
        <v>100</v>
      </c>
      <c r="P3">
        <v>5500</v>
      </c>
      <c r="Q3">
        <f>S3/S2</f>
        <v>0.97560975609756095</v>
      </c>
      <c r="R3">
        <f>S3-S2</f>
        <v>-100</v>
      </c>
      <c r="S3">
        <v>4000</v>
      </c>
      <c r="T3">
        <f>V3/V2</f>
        <v>1.024390243902439</v>
      </c>
      <c r="U3" s="4">
        <f>V3-V2</f>
        <v>20</v>
      </c>
      <c r="V3">
        <v>840</v>
      </c>
      <c r="W3">
        <f>X3/X2</f>
        <v>1.0260869565217392</v>
      </c>
      <c r="X3">
        <f t="shared" ref="X3:X13" si="0">D3+G3+J3+M3+P3+S3</f>
        <v>59000</v>
      </c>
    </row>
    <row r="4" spans="1:24" x14ac:dyDescent="0.3">
      <c r="A4" t="s">
        <v>10</v>
      </c>
      <c r="B4">
        <f t="shared" ref="B4:B13" si="1">D4/D3</f>
        <v>1.036649214659686</v>
      </c>
      <c r="C4">
        <f t="shared" ref="C4:C13" si="2">D4-D3</f>
        <v>700</v>
      </c>
      <c r="D4">
        <v>19800</v>
      </c>
      <c r="E4">
        <f t="shared" ref="E4:E13" si="3">G4/G3</f>
        <v>1.024</v>
      </c>
      <c r="F4">
        <f t="shared" ref="F4:F13" si="4">G4-G3</f>
        <v>300</v>
      </c>
      <c r="G4">
        <v>12800</v>
      </c>
      <c r="H4">
        <f t="shared" ref="H4:H13" si="5">J4/J3</f>
        <v>2.4554455445544554</v>
      </c>
      <c r="I4">
        <f t="shared" ref="I4:I13" si="6">J4-J3</f>
        <v>14700</v>
      </c>
      <c r="J4">
        <v>24800</v>
      </c>
      <c r="K4">
        <f t="shared" ref="K4:K13" si="7">M4/M3</f>
        <v>1.0384615384615385</v>
      </c>
      <c r="L4">
        <f t="shared" ref="L4:L13" si="8">M4-M3</f>
        <v>300</v>
      </c>
      <c r="M4">
        <v>8100</v>
      </c>
      <c r="N4">
        <f t="shared" ref="N4:N13" si="9">P4/P3</f>
        <v>1.0181818181818181</v>
      </c>
      <c r="O4">
        <f t="shared" ref="O4:O13" si="10">P4-P3</f>
        <v>100</v>
      </c>
      <c r="P4">
        <v>5600</v>
      </c>
      <c r="Q4">
        <f t="shared" ref="Q4:Q13" si="11">S4/S3</f>
        <v>0.97499999999999998</v>
      </c>
      <c r="R4">
        <f t="shared" ref="R4:R13" si="12">S4-S3</f>
        <v>-100</v>
      </c>
      <c r="S4">
        <v>3900</v>
      </c>
      <c r="T4">
        <f t="shared" ref="T4:T13" si="13">V4/V3</f>
        <v>1.0238095238095237</v>
      </c>
      <c r="U4" s="4">
        <f t="shared" ref="U4:U13" si="14">V4-V3</f>
        <v>20</v>
      </c>
      <c r="V4">
        <v>860</v>
      </c>
      <c r="W4">
        <f t="shared" ref="W4:W13" si="15">X4/X3</f>
        <v>1.271186440677966</v>
      </c>
      <c r="X4">
        <f t="shared" si="0"/>
        <v>75000</v>
      </c>
    </row>
    <row r="5" spans="1:24" x14ac:dyDescent="0.3">
      <c r="A5" t="s">
        <v>11</v>
      </c>
      <c r="B5">
        <f t="shared" si="1"/>
        <v>1.0353535353535352</v>
      </c>
      <c r="C5">
        <f t="shared" si="2"/>
        <v>700</v>
      </c>
      <c r="D5">
        <v>20500</v>
      </c>
      <c r="E5">
        <f t="shared" si="3"/>
        <v>1.0234375</v>
      </c>
      <c r="F5">
        <f t="shared" si="4"/>
        <v>300</v>
      </c>
      <c r="G5">
        <v>13100</v>
      </c>
      <c r="H5">
        <f t="shared" si="5"/>
        <v>0.44354838709677419</v>
      </c>
      <c r="I5">
        <f t="shared" si="6"/>
        <v>-13800</v>
      </c>
      <c r="J5">
        <v>11000</v>
      </c>
      <c r="K5">
        <f t="shared" si="7"/>
        <v>1.0246913580246915</v>
      </c>
      <c r="L5">
        <f t="shared" si="8"/>
        <v>200</v>
      </c>
      <c r="M5">
        <v>8300</v>
      </c>
      <c r="N5">
        <f t="shared" si="9"/>
        <v>1.0178571428571428</v>
      </c>
      <c r="O5">
        <f t="shared" si="10"/>
        <v>100</v>
      </c>
      <c r="P5">
        <v>5700</v>
      </c>
      <c r="Q5">
        <f t="shared" si="11"/>
        <v>0.97435897435897434</v>
      </c>
      <c r="R5">
        <f t="shared" si="12"/>
        <v>-100</v>
      </c>
      <c r="S5">
        <v>3800</v>
      </c>
      <c r="T5">
        <f t="shared" si="13"/>
        <v>1.0348837209302326</v>
      </c>
      <c r="U5" s="4">
        <f t="shared" si="14"/>
        <v>30</v>
      </c>
      <c r="V5">
        <v>890</v>
      </c>
      <c r="W5">
        <f t="shared" si="15"/>
        <v>0.83199999999999996</v>
      </c>
      <c r="X5">
        <f t="shared" si="0"/>
        <v>62400</v>
      </c>
    </row>
    <row r="6" spans="1:24" x14ac:dyDescent="0.3">
      <c r="A6" t="s">
        <v>12</v>
      </c>
      <c r="B6">
        <f t="shared" si="1"/>
        <v>1.0341463414634147</v>
      </c>
      <c r="C6">
        <f t="shared" si="2"/>
        <v>700</v>
      </c>
      <c r="D6">
        <v>21200</v>
      </c>
      <c r="E6">
        <f t="shared" si="3"/>
        <v>1.0229007633587786</v>
      </c>
      <c r="F6">
        <f t="shared" si="4"/>
        <v>300</v>
      </c>
      <c r="G6">
        <v>13400</v>
      </c>
      <c r="H6">
        <f t="shared" si="5"/>
        <v>1.0363636363636364</v>
      </c>
      <c r="I6">
        <f t="shared" si="6"/>
        <v>400</v>
      </c>
      <c r="J6">
        <v>11400</v>
      </c>
      <c r="K6">
        <f t="shared" si="7"/>
        <v>1.0240963855421688</v>
      </c>
      <c r="L6">
        <f t="shared" si="8"/>
        <v>200</v>
      </c>
      <c r="M6">
        <v>8500</v>
      </c>
      <c r="N6">
        <f t="shared" si="9"/>
        <v>1.0175438596491229</v>
      </c>
      <c r="O6">
        <f t="shared" si="10"/>
        <v>100</v>
      </c>
      <c r="P6">
        <v>5800</v>
      </c>
      <c r="Q6">
        <f t="shared" si="11"/>
        <v>0.97368421052631582</v>
      </c>
      <c r="R6">
        <f t="shared" si="12"/>
        <v>-100</v>
      </c>
      <c r="S6">
        <v>3700</v>
      </c>
      <c r="T6">
        <f t="shared" si="13"/>
        <v>1.0337078651685394</v>
      </c>
      <c r="U6" s="4">
        <f t="shared" si="14"/>
        <v>30</v>
      </c>
      <c r="V6">
        <v>920</v>
      </c>
      <c r="W6">
        <f t="shared" si="15"/>
        <v>1.0256410256410255</v>
      </c>
      <c r="X6">
        <f t="shared" si="0"/>
        <v>64000</v>
      </c>
    </row>
    <row r="7" spans="1:24" x14ac:dyDescent="0.3">
      <c r="A7" t="s">
        <v>13</v>
      </c>
      <c r="B7" s="3">
        <f>D7/D6</f>
        <v>1.4910377358490565</v>
      </c>
      <c r="C7">
        <f t="shared" si="2"/>
        <v>10410</v>
      </c>
      <c r="D7">
        <v>31610</v>
      </c>
      <c r="E7" s="3">
        <f>G7/G6</f>
        <v>1.4824626865671642</v>
      </c>
      <c r="F7">
        <f t="shared" si="4"/>
        <v>6465</v>
      </c>
      <c r="G7">
        <v>19865</v>
      </c>
      <c r="H7" s="3">
        <f>J7/J6</f>
        <v>1.475438596491228</v>
      </c>
      <c r="I7">
        <f t="shared" si="6"/>
        <v>5420</v>
      </c>
      <c r="J7">
        <v>16820</v>
      </c>
      <c r="K7" s="3">
        <f>M7/M6</f>
        <v>1.4841176470588235</v>
      </c>
      <c r="L7" s="3">
        <f t="shared" si="8"/>
        <v>4115</v>
      </c>
      <c r="M7">
        <v>12615</v>
      </c>
      <c r="N7" s="1">
        <f>P7/P6</f>
        <v>1.4750000000000001</v>
      </c>
      <c r="O7" s="3">
        <f t="shared" si="10"/>
        <v>2755</v>
      </c>
      <c r="P7">
        <v>8555</v>
      </c>
      <c r="Q7" s="1">
        <f>S7/S6</f>
        <v>1.4108108108108108</v>
      </c>
      <c r="R7" s="3">
        <f t="shared" si="12"/>
        <v>1520</v>
      </c>
      <c r="S7">
        <v>5220</v>
      </c>
      <c r="T7" s="2">
        <f>V7/V6</f>
        <v>1.0326086956521738</v>
      </c>
      <c r="U7" s="4">
        <f t="shared" si="14"/>
        <v>30</v>
      </c>
      <c r="V7">
        <v>950</v>
      </c>
      <c r="W7" s="1">
        <f>X7/X6</f>
        <v>1.479453125</v>
      </c>
      <c r="X7">
        <f t="shared" si="0"/>
        <v>94685</v>
      </c>
    </row>
    <row r="8" spans="1:24" x14ac:dyDescent="0.3">
      <c r="A8" t="s">
        <v>14</v>
      </c>
      <c r="B8">
        <f>D8/D7</f>
        <v>1.0275229357798166</v>
      </c>
      <c r="C8" s="3">
        <f t="shared" si="2"/>
        <v>870</v>
      </c>
      <c r="D8">
        <v>32480</v>
      </c>
      <c r="E8">
        <f>G8/G7</f>
        <v>1.0218978102189782</v>
      </c>
      <c r="F8" s="3">
        <f t="shared" si="4"/>
        <v>435</v>
      </c>
      <c r="G8">
        <v>20300</v>
      </c>
      <c r="H8">
        <f>J8/J7</f>
        <v>1.0258620689655173</v>
      </c>
      <c r="I8">
        <f t="shared" si="6"/>
        <v>435</v>
      </c>
      <c r="J8">
        <v>17255</v>
      </c>
      <c r="K8">
        <f>M8/M7</f>
        <v>1.0229885057471264</v>
      </c>
      <c r="L8" s="3">
        <f t="shared" si="8"/>
        <v>290</v>
      </c>
      <c r="M8">
        <v>12905</v>
      </c>
      <c r="N8">
        <f>P8/P7</f>
        <v>1.0169491525423728</v>
      </c>
      <c r="O8" s="3">
        <f t="shared" si="10"/>
        <v>145</v>
      </c>
      <c r="P8">
        <v>8700</v>
      </c>
      <c r="Q8">
        <f>S8/S7</f>
        <v>0.94444444444444442</v>
      </c>
      <c r="R8" s="3">
        <f t="shared" si="12"/>
        <v>-290</v>
      </c>
      <c r="S8">
        <v>4930</v>
      </c>
      <c r="T8">
        <f>V8/V7</f>
        <v>1.0315789473684212</v>
      </c>
      <c r="U8" s="4">
        <f t="shared" si="14"/>
        <v>30</v>
      </c>
      <c r="V8">
        <v>980</v>
      </c>
      <c r="W8">
        <f>X8/X7</f>
        <v>1.0199081163859112</v>
      </c>
      <c r="X8">
        <f t="shared" si="0"/>
        <v>96570</v>
      </c>
    </row>
    <row r="9" spans="1:24" x14ac:dyDescent="0.3">
      <c r="A9" t="s">
        <v>15</v>
      </c>
      <c r="B9">
        <f t="shared" si="1"/>
        <v>1.0267857142857142</v>
      </c>
      <c r="C9" s="3">
        <f t="shared" si="2"/>
        <v>870</v>
      </c>
      <c r="D9">
        <v>33350</v>
      </c>
      <c r="E9">
        <f t="shared" si="3"/>
        <v>1.0214285714285714</v>
      </c>
      <c r="F9" s="3">
        <f t="shared" si="4"/>
        <v>435</v>
      </c>
      <c r="G9">
        <v>20735</v>
      </c>
      <c r="H9">
        <f t="shared" si="5"/>
        <v>1.0168067226890756</v>
      </c>
      <c r="I9">
        <f t="shared" si="6"/>
        <v>290</v>
      </c>
      <c r="J9">
        <v>17545</v>
      </c>
      <c r="K9">
        <f t="shared" si="7"/>
        <v>1.0224719101123596</v>
      </c>
      <c r="L9" s="3">
        <f t="shared" si="8"/>
        <v>290</v>
      </c>
      <c r="M9">
        <v>13195</v>
      </c>
      <c r="N9">
        <f t="shared" si="9"/>
        <v>1.0166666666666666</v>
      </c>
      <c r="O9" s="3">
        <f t="shared" si="10"/>
        <v>145</v>
      </c>
      <c r="P9">
        <v>8845</v>
      </c>
      <c r="Q9">
        <f t="shared" si="11"/>
        <v>0.44117647058823528</v>
      </c>
      <c r="R9" s="3">
        <f t="shared" si="12"/>
        <v>-2755</v>
      </c>
      <c r="S9">
        <v>2175</v>
      </c>
      <c r="T9">
        <f t="shared" si="13"/>
        <v>1.0306122448979591</v>
      </c>
      <c r="U9" s="4">
        <f t="shared" si="14"/>
        <v>30</v>
      </c>
      <c r="V9">
        <v>1010</v>
      </c>
      <c r="W9">
        <f t="shared" si="15"/>
        <v>0.9924924924924925</v>
      </c>
      <c r="X9">
        <f t="shared" si="0"/>
        <v>95845</v>
      </c>
    </row>
    <row r="10" spans="1:24" x14ac:dyDescent="0.3">
      <c r="A10" t="s">
        <v>16</v>
      </c>
      <c r="B10">
        <f t="shared" si="1"/>
        <v>1.0260869565217392</v>
      </c>
      <c r="C10" s="3">
        <f t="shared" si="2"/>
        <v>870</v>
      </c>
      <c r="D10">
        <v>34220</v>
      </c>
      <c r="E10">
        <f t="shared" si="3"/>
        <v>1.020979020979021</v>
      </c>
      <c r="F10" s="3">
        <f t="shared" si="4"/>
        <v>435</v>
      </c>
      <c r="G10">
        <v>21170</v>
      </c>
      <c r="H10">
        <f t="shared" si="5"/>
        <v>1.024793388429752</v>
      </c>
      <c r="I10">
        <f t="shared" si="6"/>
        <v>435</v>
      </c>
      <c r="J10">
        <v>17980</v>
      </c>
      <c r="K10">
        <f t="shared" si="7"/>
        <v>1.0219780219780219</v>
      </c>
      <c r="L10" s="3">
        <f t="shared" si="8"/>
        <v>290</v>
      </c>
      <c r="M10">
        <v>13485</v>
      </c>
      <c r="N10">
        <f t="shared" si="9"/>
        <v>1.0163934426229508</v>
      </c>
      <c r="O10" s="3">
        <f t="shared" si="10"/>
        <v>145</v>
      </c>
      <c r="P10">
        <v>8990</v>
      </c>
      <c r="Q10">
        <f t="shared" si="11"/>
        <v>0.73333333333333328</v>
      </c>
      <c r="R10" s="3">
        <f t="shared" si="12"/>
        <v>-580</v>
      </c>
      <c r="S10">
        <v>1595</v>
      </c>
      <c r="T10">
        <f t="shared" si="13"/>
        <v>1.0297029702970297</v>
      </c>
      <c r="U10" s="4">
        <f t="shared" si="14"/>
        <v>30</v>
      </c>
      <c r="V10">
        <v>1040</v>
      </c>
      <c r="W10">
        <f t="shared" si="15"/>
        <v>1.0166414523449319</v>
      </c>
      <c r="X10">
        <f t="shared" si="0"/>
        <v>97440</v>
      </c>
    </row>
    <row r="11" spans="1:24" x14ac:dyDescent="0.3">
      <c r="A11" t="s">
        <v>17</v>
      </c>
      <c r="B11">
        <f t="shared" si="1"/>
        <v>1.0254237288135593</v>
      </c>
      <c r="C11" s="3">
        <f t="shared" si="2"/>
        <v>870</v>
      </c>
      <c r="D11">
        <v>35090</v>
      </c>
      <c r="E11">
        <f t="shared" si="3"/>
        <v>1.0205479452054795</v>
      </c>
      <c r="F11" s="3">
        <f t="shared" si="4"/>
        <v>435</v>
      </c>
      <c r="G11">
        <v>21605</v>
      </c>
      <c r="H11">
        <f t="shared" si="5"/>
        <v>1.0161290322580645</v>
      </c>
      <c r="I11">
        <f t="shared" si="6"/>
        <v>290</v>
      </c>
      <c r="J11">
        <v>18270</v>
      </c>
      <c r="K11">
        <f t="shared" si="7"/>
        <v>1.021505376344086</v>
      </c>
      <c r="L11" s="3">
        <f t="shared" si="8"/>
        <v>290</v>
      </c>
      <c r="M11">
        <v>13775</v>
      </c>
      <c r="N11">
        <f t="shared" si="9"/>
        <v>1.0161290322580645</v>
      </c>
      <c r="O11" s="3">
        <f t="shared" si="10"/>
        <v>145</v>
      </c>
      <c r="P11">
        <v>9135</v>
      </c>
      <c r="Q11">
        <f t="shared" si="11"/>
        <v>0.72727272727272729</v>
      </c>
      <c r="R11" s="3">
        <f t="shared" si="12"/>
        <v>-435</v>
      </c>
      <c r="S11">
        <v>1160</v>
      </c>
      <c r="T11">
        <f t="shared" si="13"/>
        <v>1.0288461538461537</v>
      </c>
      <c r="U11" s="4">
        <f t="shared" si="14"/>
        <v>30</v>
      </c>
      <c r="V11">
        <v>1070</v>
      </c>
      <c r="W11">
        <f t="shared" si="15"/>
        <v>1.0163690476190477</v>
      </c>
      <c r="X11">
        <f t="shared" si="0"/>
        <v>99035</v>
      </c>
    </row>
    <row r="12" spans="1:24" x14ac:dyDescent="0.3">
      <c r="A12" t="s">
        <v>18</v>
      </c>
      <c r="B12">
        <f t="shared" si="1"/>
        <v>1.024793388429752</v>
      </c>
      <c r="C12" s="3">
        <f t="shared" si="2"/>
        <v>870</v>
      </c>
      <c r="D12">
        <v>35960</v>
      </c>
      <c r="E12">
        <f t="shared" si="3"/>
        <v>1.0201342281879195</v>
      </c>
      <c r="F12" s="3">
        <f t="shared" si="4"/>
        <v>435</v>
      </c>
      <c r="G12">
        <v>22040</v>
      </c>
      <c r="H12">
        <f t="shared" si="5"/>
        <v>1.0238095238095237</v>
      </c>
      <c r="I12">
        <f t="shared" si="6"/>
        <v>435</v>
      </c>
      <c r="J12">
        <v>18705</v>
      </c>
      <c r="K12">
        <f t="shared" si="7"/>
        <v>1.0210526315789474</v>
      </c>
      <c r="L12" s="3">
        <f t="shared" si="8"/>
        <v>290</v>
      </c>
      <c r="M12">
        <v>14065</v>
      </c>
      <c r="N12">
        <f t="shared" si="9"/>
        <v>1.0158730158730158</v>
      </c>
      <c r="O12" s="3">
        <f t="shared" si="10"/>
        <v>145</v>
      </c>
      <c r="P12">
        <v>9280</v>
      </c>
      <c r="Q12">
        <f t="shared" si="11"/>
        <v>0.75</v>
      </c>
      <c r="R12" s="3">
        <f t="shared" si="12"/>
        <v>-290</v>
      </c>
      <c r="S12">
        <v>870</v>
      </c>
      <c r="T12">
        <f t="shared" si="13"/>
        <v>1.02803738317757</v>
      </c>
      <c r="U12" s="4">
        <f t="shared" si="14"/>
        <v>30</v>
      </c>
      <c r="V12">
        <v>1100</v>
      </c>
      <c r="W12">
        <f t="shared" si="15"/>
        <v>1.0190336749633968</v>
      </c>
      <c r="X12">
        <f t="shared" si="0"/>
        <v>100920</v>
      </c>
    </row>
    <row r="13" spans="1:24" x14ac:dyDescent="0.3">
      <c r="A13" t="s">
        <v>19</v>
      </c>
      <c r="B13">
        <f t="shared" si="1"/>
        <v>1.0241935483870968</v>
      </c>
      <c r="C13" s="3">
        <f t="shared" si="2"/>
        <v>870</v>
      </c>
      <c r="D13">
        <v>36830</v>
      </c>
      <c r="E13">
        <f t="shared" si="3"/>
        <v>1.0197368421052631</v>
      </c>
      <c r="F13" s="3">
        <f t="shared" si="4"/>
        <v>435</v>
      </c>
      <c r="G13">
        <v>22475</v>
      </c>
      <c r="H13">
        <f t="shared" si="5"/>
        <v>1.0155038759689923</v>
      </c>
      <c r="I13">
        <f t="shared" si="6"/>
        <v>290</v>
      </c>
      <c r="J13">
        <v>18995</v>
      </c>
      <c r="K13">
        <f t="shared" si="7"/>
        <v>1.0206185567010309</v>
      </c>
      <c r="L13" s="3">
        <f t="shared" si="8"/>
        <v>290</v>
      </c>
      <c r="M13">
        <v>14355</v>
      </c>
      <c r="N13">
        <f t="shared" si="9"/>
        <v>1.015625</v>
      </c>
      <c r="O13" s="3">
        <f t="shared" si="10"/>
        <v>145</v>
      </c>
      <c r="P13">
        <v>9425</v>
      </c>
      <c r="Q13">
        <f t="shared" si="11"/>
        <v>0.83333333333333337</v>
      </c>
      <c r="R13" s="3">
        <f t="shared" si="12"/>
        <v>-145</v>
      </c>
      <c r="S13">
        <v>725</v>
      </c>
      <c r="T13">
        <f t="shared" si="13"/>
        <v>1.0363636363636364</v>
      </c>
      <c r="U13" s="4">
        <f t="shared" si="14"/>
        <v>40</v>
      </c>
      <c r="V13">
        <v>1140</v>
      </c>
      <c r="W13">
        <f t="shared" si="15"/>
        <v>1.0186781609195403</v>
      </c>
      <c r="X13">
        <f t="shared" si="0"/>
        <v>102805</v>
      </c>
    </row>
    <row r="16" spans="1:24" x14ac:dyDescent="0.3">
      <c r="B16" t="s">
        <v>32</v>
      </c>
      <c r="C16">
        <f>(V13-V2)*100/V2</f>
        <v>39.024390243902438</v>
      </c>
    </row>
    <row r="17" spans="2:18" x14ac:dyDescent="0.3">
      <c r="B17" t="s">
        <v>37</v>
      </c>
    </row>
    <row r="19" spans="2:18" x14ac:dyDescent="0.3">
      <c r="B19" t="s">
        <v>38</v>
      </c>
      <c r="F19">
        <v>300</v>
      </c>
      <c r="I19">
        <v>300</v>
      </c>
      <c r="L19">
        <v>200</v>
      </c>
      <c r="O19">
        <v>100</v>
      </c>
      <c r="R19">
        <v>-100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traffic_table_fake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2026-10-06T11:57:42Z</dcterms:created>
  <dcterms:modified xsi:type="dcterms:W3CDTF">2026-10-06T13:26:13Z</dcterms:modified>
</cp:coreProperties>
</file>